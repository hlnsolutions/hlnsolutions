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833585-7857-4614-9D23-C2E1573652D6}" xr6:coauthVersionLast="47" xr6:coauthVersionMax="47" xr10:uidLastSave="{00000000-0000-0000-0000-000000000000}"/>
  <bookViews>
    <workbookView xWindow="-110" yWindow="-110" windowWidth="19420" windowHeight="10420" firstSheet="5" activeTab="8" xr2:uid="{00000000-000D-0000-FFFF-FFFF00000000}"/>
  </bookViews>
  <sheets>
    <sheet name="Jan 2025" sheetId="10" r:id="rId1"/>
    <sheet name="Fevrier 2025" sheetId="11" r:id="rId2"/>
    <sheet name="Mars 2025 " sheetId="12" r:id="rId3"/>
    <sheet name="Avril 2025" sheetId="13" r:id="rId4"/>
    <sheet name="Mai 2025" sheetId="14" r:id="rId5"/>
    <sheet name="Juin 2025" sheetId="15" r:id="rId6"/>
    <sheet name="Juill 2025" sheetId="16" r:id="rId7"/>
    <sheet name="Aout 2025" sheetId="17" r:id="rId8"/>
    <sheet name="Sept 2025 " sheetId="18" r:id="rId9"/>
    <sheet name="OCT 2025" sheetId="19" r:id="rId10"/>
    <sheet name="NOV 2025 " sheetId="20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8" i="20" l="1"/>
  <c r="W72" i="20"/>
  <c r="X73" i="20"/>
  <c r="W75" i="20"/>
  <c r="X72" i="20" s="1"/>
  <c r="W71" i="20"/>
  <c r="V75" i="20"/>
  <c r="O33" i="20"/>
  <c r="R24" i="20"/>
  <c r="R22" i="20"/>
  <c r="P33" i="20"/>
  <c r="N37" i="20"/>
  <c r="P37" i="20" s="1"/>
  <c r="O31" i="20"/>
  <c r="C14" i="20"/>
  <c r="C17" i="20"/>
  <c r="E17" i="20" s="1"/>
  <c r="X64" i="20"/>
  <c r="Z63" i="20"/>
  <c r="Z62" i="20"/>
  <c r="Z61" i="20"/>
  <c r="Z64" i="20" s="1"/>
  <c r="X54" i="20"/>
  <c r="X55" i="20" s="1"/>
  <c r="X52" i="20"/>
  <c r="X51" i="20"/>
  <c r="X50" i="20"/>
  <c r="X53" i="20" s="1"/>
  <c r="X56" i="20" s="1"/>
  <c r="X49" i="20"/>
  <c r="P38" i="20"/>
  <c r="N34" i="20"/>
  <c r="P34" i="20" s="1"/>
  <c r="N31" i="20"/>
  <c r="P30" i="20"/>
  <c r="O30" i="20"/>
  <c r="N29" i="20"/>
  <c r="O29" i="20" s="1"/>
  <c r="N28" i="20"/>
  <c r="O28" i="20" s="1"/>
  <c r="P26" i="20"/>
  <c r="O26" i="20"/>
  <c r="N25" i="20"/>
  <c r="O25" i="20" s="1"/>
  <c r="P25" i="20" s="1"/>
  <c r="O24" i="20"/>
  <c r="P24" i="20" s="1"/>
  <c r="N24" i="20"/>
  <c r="N23" i="20"/>
  <c r="C13" i="20"/>
  <c r="C12" i="20"/>
  <c r="C11" i="20"/>
  <c r="E8" i="20"/>
  <c r="E7" i="20"/>
  <c r="X49" i="19"/>
  <c r="X56" i="19"/>
  <c r="X55" i="19"/>
  <c r="X54" i="19"/>
  <c r="X53" i="19"/>
  <c r="X52" i="19"/>
  <c r="X51" i="19"/>
  <c r="X50" i="19"/>
  <c r="X64" i="19"/>
  <c r="Z63" i="19"/>
  <c r="Z62" i="19"/>
  <c r="Z61" i="19"/>
  <c r="R24" i="19"/>
  <c r="C14" i="19"/>
  <c r="N37" i="19"/>
  <c r="P37" i="19" s="1"/>
  <c r="O33" i="19"/>
  <c r="P33" i="19" s="1"/>
  <c r="O31" i="19"/>
  <c r="C17" i="19"/>
  <c r="E17" i="19" s="1"/>
  <c r="P38" i="19"/>
  <c r="N34" i="19"/>
  <c r="P34" i="19" s="1"/>
  <c r="N31" i="19"/>
  <c r="O30" i="19"/>
  <c r="P30" i="19" s="1"/>
  <c r="N29" i="19"/>
  <c r="O29" i="19" s="1"/>
  <c r="N28" i="19"/>
  <c r="O28" i="19" s="1"/>
  <c r="O26" i="19"/>
  <c r="P26" i="19" s="1"/>
  <c r="N25" i="19"/>
  <c r="O25" i="19" s="1"/>
  <c r="P25" i="19" s="1"/>
  <c r="N24" i="19"/>
  <c r="O24" i="19" s="1"/>
  <c r="P24" i="19" s="1"/>
  <c r="N23" i="19"/>
  <c r="O23" i="19" s="1"/>
  <c r="C13" i="19"/>
  <c r="C12" i="19"/>
  <c r="C11" i="19"/>
  <c r="E8" i="19"/>
  <c r="E7" i="19"/>
  <c r="R24" i="18"/>
  <c r="O33" i="18"/>
  <c r="N41" i="18"/>
  <c r="N40" i="18"/>
  <c r="N37" i="18"/>
  <c r="X74" i="20" l="1"/>
  <c r="X71" i="20"/>
  <c r="X75" i="20" s="1"/>
  <c r="N42" i="20"/>
  <c r="O23" i="20"/>
  <c r="P31" i="20"/>
  <c r="E15" i="20"/>
  <c r="E16" i="20" s="1"/>
  <c r="E18" i="20" s="1"/>
  <c r="L7" i="20" s="1"/>
  <c r="P23" i="20"/>
  <c r="P28" i="20"/>
  <c r="P29" i="20"/>
  <c r="E15" i="19"/>
  <c r="E16" i="19" s="1"/>
  <c r="E18" i="19" s="1"/>
  <c r="L7" i="19" s="1"/>
  <c r="R25" i="19" s="1"/>
  <c r="P31" i="19"/>
  <c r="P28" i="19"/>
  <c r="P29" i="19"/>
  <c r="N42" i="19"/>
  <c r="N34" i="18"/>
  <c r="O31" i="18"/>
  <c r="O29" i="18"/>
  <c r="O28" i="18"/>
  <c r="O25" i="18"/>
  <c r="O23" i="18"/>
  <c r="C17" i="18"/>
  <c r="R25" i="20" l="1"/>
  <c r="S21" i="20" s="1"/>
  <c r="S42" i="20" s="1"/>
  <c r="L8" i="20"/>
  <c r="Y61" i="20" s="1"/>
  <c r="Y63" i="20"/>
  <c r="Y62" i="20"/>
  <c r="P42" i="20"/>
  <c r="P49" i="20"/>
  <c r="P50" i="20" s="1"/>
  <c r="O42" i="20"/>
  <c r="P49" i="19"/>
  <c r="P50" i="19" s="1"/>
  <c r="O42" i="19"/>
  <c r="P23" i="19"/>
  <c r="P42" i="19" s="1"/>
  <c r="X63" i="18"/>
  <c r="P38" i="18"/>
  <c r="P37" i="18"/>
  <c r="P34" i="18"/>
  <c r="P33" i="18"/>
  <c r="N31" i="18"/>
  <c r="P31" i="18" s="1"/>
  <c r="O30" i="18"/>
  <c r="P30" i="18" s="1"/>
  <c r="P29" i="18"/>
  <c r="N29" i="18"/>
  <c r="N28" i="18"/>
  <c r="O26" i="18"/>
  <c r="P26" i="18" s="1"/>
  <c r="N25" i="18"/>
  <c r="P25" i="18" s="1"/>
  <c r="N24" i="18"/>
  <c r="O24" i="18" s="1"/>
  <c r="P24" i="18" s="1"/>
  <c r="N23" i="18"/>
  <c r="R22" i="18"/>
  <c r="X64" i="18" s="1"/>
  <c r="E17" i="18"/>
  <c r="C14" i="18"/>
  <c r="C13" i="18"/>
  <c r="C12" i="18"/>
  <c r="C11" i="18"/>
  <c r="E15" i="18" s="1"/>
  <c r="E8" i="18"/>
  <c r="E7" i="18"/>
  <c r="R24" i="17"/>
  <c r="P34" i="17"/>
  <c r="N34" i="17"/>
  <c r="O33" i="17"/>
  <c r="P33" i="17" s="1"/>
  <c r="C14" i="17"/>
  <c r="O31" i="17"/>
  <c r="P31" i="17" s="1"/>
  <c r="O29" i="17"/>
  <c r="O28" i="17"/>
  <c r="O26" i="17"/>
  <c r="O25" i="17"/>
  <c r="O23" i="17"/>
  <c r="C17" i="17"/>
  <c r="C13" i="17"/>
  <c r="X63" i="17"/>
  <c r="P38" i="17"/>
  <c r="P37" i="17"/>
  <c r="N31" i="17"/>
  <c r="O30" i="17"/>
  <c r="P30" i="17" s="1"/>
  <c r="N29" i="17"/>
  <c r="P28" i="17"/>
  <c r="N28" i="17"/>
  <c r="P26" i="17"/>
  <c r="N25" i="17"/>
  <c r="N24" i="17"/>
  <c r="O24" i="17" s="1"/>
  <c r="N23" i="17"/>
  <c r="E17" i="17"/>
  <c r="C12" i="17"/>
  <c r="C11" i="17"/>
  <c r="E8" i="17"/>
  <c r="E7" i="17"/>
  <c r="R24" i="16"/>
  <c r="O33" i="16"/>
  <c r="P33" i="16" s="1"/>
  <c r="O31" i="16"/>
  <c r="O29" i="16"/>
  <c r="O28" i="16"/>
  <c r="O26" i="16"/>
  <c r="P26" i="16" s="1"/>
  <c r="O25" i="16"/>
  <c r="O23" i="16"/>
  <c r="C14" i="16"/>
  <c r="C17" i="16"/>
  <c r="C13" i="16"/>
  <c r="C12" i="16"/>
  <c r="X63" i="16"/>
  <c r="P38" i="16"/>
  <c r="P37" i="16"/>
  <c r="N31" i="16"/>
  <c r="P31" i="16" s="1"/>
  <c r="P30" i="16"/>
  <c r="O30" i="16"/>
  <c r="N29" i="16"/>
  <c r="N28" i="16"/>
  <c r="N25" i="16"/>
  <c r="P25" i="16" s="1"/>
  <c r="O24" i="16"/>
  <c r="N24" i="16"/>
  <c r="P24" i="16" s="1"/>
  <c r="N23" i="16"/>
  <c r="N42" i="16" s="1"/>
  <c r="E17" i="16"/>
  <c r="C11" i="16"/>
  <c r="E15" i="16" s="1"/>
  <c r="E8" i="16"/>
  <c r="E7" i="16"/>
  <c r="R24" i="15"/>
  <c r="N41" i="15"/>
  <c r="P38" i="15" s="1"/>
  <c r="F24" i="15"/>
  <c r="C14" i="15"/>
  <c r="O33" i="15"/>
  <c r="O31" i="15"/>
  <c r="O30" i="15"/>
  <c r="P30" i="15" s="1"/>
  <c r="O29" i="15"/>
  <c r="P29" i="15" s="1"/>
  <c r="O28" i="15"/>
  <c r="O26" i="15"/>
  <c r="P26" i="15" s="1"/>
  <c r="O25" i="15"/>
  <c r="P25" i="15" s="1"/>
  <c r="C13" i="15"/>
  <c r="O24" i="15"/>
  <c r="P24" i="15" s="1"/>
  <c r="O23" i="15"/>
  <c r="C17" i="15"/>
  <c r="E17" i="15" s="1"/>
  <c r="X63" i="15"/>
  <c r="P37" i="15"/>
  <c r="P33" i="15"/>
  <c r="N31" i="15"/>
  <c r="N29" i="15"/>
  <c r="N28" i="15"/>
  <c r="N25" i="15"/>
  <c r="N24" i="15"/>
  <c r="N23" i="15"/>
  <c r="N42" i="15" s="1"/>
  <c r="H19" i="15"/>
  <c r="C12" i="15"/>
  <c r="C11" i="15"/>
  <c r="E8" i="15"/>
  <c r="E7" i="15"/>
  <c r="R24" i="14"/>
  <c r="O33" i="14"/>
  <c r="P33" i="14" s="1"/>
  <c r="O31" i="14"/>
  <c r="O30" i="14"/>
  <c r="P30" i="14" s="1"/>
  <c r="O29" i="14"/>
  <c r="O28" i="14"/>
  <c r="P28" i="14" s="1"/>
  <c r="O26" i="14"/>
  <c r="O25" i="14"/>
  <c r="O24" i="14"/>
  <c r="O23" i="14"/>
  <c r="C17" i="14"/>
  <c r="E17" i="14" s="1"/>
  <c r="C14" i="14"/>
  <c r="X63" i="14"/>
  <c r="P38" i="14"/>
  <c r="P37" i="14"/>
  <c r="P31" i="14"/>
  <c r="N31" i="14"/>
  <c r="N29" i="14"/>
  <c r="N28" i="14"/>
  <c r="P26" i="14"/>
  <c r="N25" i="14"/>
  <c r="N24" i="14"/>
  <c r="N23" i="14"/>
  <c r="H19" i="14"/>
  <c r="C13" i="14"/>
  <c r="C12" i="14"/>
  <c r="C11" i="14"/>
  <c r="E8" i="14"/>
  <c r="E7" i="14"/>
  <c r="R24" i="13"/>
  <c r="C14" i="13"/>
  <c r="O33" i="13"/>
  <c r="P33" i="13" s="1"/>
  <c r="O31" i="13"/>
  <c r="P31" i="13" s="1"/>
  <c r="O30" i="13"/>
  <c r="P30" i="13" s="1"/>
  <c r="O29" i="13"/>
  <c r="O28" i="13"/>
  <c r="P28" i="13" s="1"/>
  <c r="O26" i="13"/>
  <c r="P26" i="13" s="1"/>
  <c r="O25" i="13"/>
  <c r="O24" i="13"/>
  <c r="O23" i="13"/>
  <c r="N23" i="13"/>
  <c r="C17" i="13"/>
  <c r="E17" i="13" s="1"/>
  <c r="C12" i="13"/>
  <c r="X63" i="13"/>
  <c r="P38" i="13"/>
  <c r="P37" i="13"/>
  <c r="N31" i="13"/>
  <c r="N29" i="13"/>
  <c r="N28" i="13"/>
  <c r="N25" i="13"/>
  <c r="N24" i="13"/>
  <c r="H19" i="13"/>
  <c r="C13" i="13"/>
  <c r="C11" i="13"/>
  <c r="E15" i="13" s="1"/>
  <c r="E8" i="13"/>
  <c r="E7" i="13"/>
  <c r="R24" i="12"/>
  <c r="O33" i="12"/>
  <c r="O31" i="12"/>
  <c r="O30" i="12"/>
  <c r="O29" i="12"/>
  <c r="O28" i="12"/>
  <c r="O26" i="12"/>
  <c r="O25" i="12"/>
  <c r="O24" i="12"/>
  <c r="O23" i="12"/>
  <c r="L6" i="11"/>
  <c r="R22" i="11" s="1"/>
  <c r="O23" i="11"/>
  <c r="O24" i="11"/>
  <c r="O25" i="11"/>
  <c r="O26" i="11"/>
  <c r="O28" i="11"/>
  <c r="O29" i="11"/>
  <c r="O30" i="11"/>
  <c r="O31" i="11"/>
  <c r="O33" i="11"/>
  <c r="R24" i="11"/>
  <c r="C17" i="12"/>
  <c r="C14" i="12"/>
  <c r="Y64" i="20" l="1"/>
  <c r="W42" i="20"/>
  <c r="S46" i="20"/>
  <c r="E16" i="18"/>
  <c r="E18" i="18" s="1"/>
  <c r="L7" i="18" s="1"/>
  <c r="R25" i="18" s="1"/>
  <c r="S21" i="18" s="1"/>
  <c r="S42" i="18" s="1"/>
  <c r="Y62" i="18"/>
  <c r="X61" i="18"/>
  <c r="Y61" i="18" s="1"/>
  <c r="Y63" i="18"/>
  <c r="P23" i="18"/>
  <c r="P28" i="18"/>
  <c r="N42" i="18"/>
  <c r="E15" i="17"/>
  <c r="E16" i="17" s="1"/>
  <c r="E18" i="17" s="1"/>
  <c r="L7" i="17" s="1"/>
  <c r="R25" i="17" s="1"/>
  <c r="P25" i="17"/>
  <c r="P23" i="17"/>
  <c r="P24" i="17"/>
  <c r="P29" i="17"/>
  <c r="N42" i="17"/>
  <c r="P28" i="16"/>
  <c r="E16" i="16"/>
  <c r="P29" i="16"/>
  <c r="P23" i="16"/>
  <c r="P49" i="16"/>
  <c r="P50" i="16" s="1"/>
  <c r="P31" i="15"/>
  <c r="E15" i="15"/>
  <c r="E16" i="15" s="1"/>
  <c r="E18" i="15" s="1"/>
  <c r="L7" i="15" s="1"/>
  <c r="R25" i="15" s="1"/>
  <c r="P23" i="15"/>
  <c r="P49" i="15"/>
  <c r="P50" i="15" s="1"/>
  <c r="E15" i="14"/>
  <c r="E16" i="14" s="1"/>
  <c r="E18" i="14" s="1"/>
  <c r="L7" i="14" s="1"/>
  <c r="R25" i="14" s="1"/>
  <c r="P25" i="14"/>
  <c r="P29" i="14"/>
  <c r="P24" i="14"/>
  <c r="N42" i="14"/>
  <c r="E16" i="13"/>
  <c r="E18" i="13" s="1"/>
  <c r="L7" i="13" s="1"/>
  <c r="R25" i="13" s="1"/>
  <c r="P23" i="13"/>
  <c r="P25" i="13"/>
  <c r="N42" i="13"/>
  <c r="P24" i="13"/>
  <c r="P29" i="13"/>
  <c r="C13" i="11"/>
  <c r="C17" i="11"/>
  <c r="E17" i="11" s="1"/>
  <c r="X63" i="12"/>
  <c r="P38" i="12"/>
  <c r="P37" i="12"/>
  <c r="P33" i="12"/>
  <c r="P31" i="12"/>
  <c r="N31" i="12"/>
  <c r="P30" i="12"/>
  <c r="N29" i="12"/>
  <c r="P29" i="12" s="1"/>
  <c r="P28" i="12"/>
  <c r="N28" i="12"/>
  <c r="P26" i="12"/>
  <c r="N25" i="12"/>
  <c r="N24" i="12"/>
  <c r="N23" i="12"/>
  <c r="R22" i="12"/>
  <c r="X64" i="12" s="1"/>
  <c r="H19" i="12"/>
  <c r="E17" i="12"/>
  <c r="C13" i="12"/>
  <c r="C12" i="12"/>
  <c r="C11" i="12"/>
  <c r="E15" i="12" s="1"/>
  <c r="E8" i="12"/>
  <c r="E7" i="12"/>
  <c r="X63" i="11"/>
  <c r="N31" i="11"/>
  <c r="P33" i="11"/>
  <c r="P30" i="11"/>
  <c r="P26" i="11"/>
  <c r="P25" i="11"/>
  <c r="C14" i="11"/>
  <c r="P38" i="11"/>
  <c r="P37" i="11"/>
  <c r="N29" i="11"/>
  <c r="P29" i="11" s="1"/>
  <c r="N28" i="11"/>
  <c r="N25" i="11"/>
  <c r="P24" i="11"/>
  <c r="N24" i="11"/>
  <c r="N23" i="11"/>
  <c r="H19" i="11"/>
  <c r="C12" i="11"/>
  <c r="C11" i="11"/>
  <c r="E15" i="11" s="1"/>
  <c r="E8" i="11"/>
  <c r="E7" i="11"/>
  <c r="X64" i="11"/>
  <c r="R24" i="10"/>
  <c r="P38" i="10"/>
  <c r="O33" i="10"/>
  <c r="P33" i="10" s="1"/>
  <c r="O31" i="10"/>
  <c r="O30" i="10"/>
  <c r="N25" i="10"/>
  <c r="O25" i="10" s="1"/>
  <c r="P25" i="10" s="1"/>
  <c r="P30" i="10"/>
  <c r="O26" i="10"/>
  <c r="P26" i="10" s="1"/>
  <c r="N23" i="10"/>
  <c r="O23" i="10" s="1"/>
  <c r="L6" i="10"/>
  <c r="R22" i="10" s="1"/>
  <c r="C17" i="10"/>
  <c r="E17" i="10" s="1"/>
  <c r="C14" i="10"/>
  <c r="C12" i="10"/>
  <c r="P37" i="10"/>
  <c r="N31" i="10"/>
  <c r="N29" i="10"/>
  <c r="O29" i="10" s="1"/>
  <c r="N28" i="10"/>
  <c r="O28" i="10" s="1"/>
  <c r="N24" i="10"/>
  <c r="O24" i="10" s="1"/>
  <c r="P24" i="10" s="1"/>
  <c r="H19" i="10"/>
  <c r="C13" i="10"/>
  <c r="C11" i="10"/>
  <c r="E8" i="10"/>
  <c r="E7" i="10"/>
  <c r="Y64" i="18" l="1"/>
  <c r="L8" i="18"/>
  <c r="L5" i="19" s="1"/>
  <c r="P42" i="18"/>
  <c r="O42" i="18"/>
  <c r="P49" i="18"/>
  <c r="P50" i="18" s="1"/>
  <c r="P42" i="17"/>
  <c r="P49" i="17"/>
  <c r="P50" i="17" s="1"/>
  <c r="O42" i="17"/>
  <c r="E18" i="16"/>
  <c r="L7" i="16" s="1"/>
  <c r="R25" i="16" s="1"/>
  <c r="P42" i="16"/>
  <c r="O42" i="16"/>
  <c r="P28" i="15"/>
  <c r="O42" i="15"/>
  <c r="P42" i="15"/>
  <c r="P49" i="14"/>
  <c r="P50" i="14" s="1"/>
  <c r="O42" i="14"/>
  <c r="P23" i="14"/>
  <c r="P42" i="14" s="1"/>
  <c r="P42" i="13"/>
  <c r="P49" i="13"/>
  <c r="P50" i="13" s="1"/>
  <c r="O42" i="13"/>
  <c r="Y62" i="11"/>
  <c r="X61" i="11"/>
  <c r="Y61" i="11" s="1"/>
  <c r="Y63" i="11"/>
  <c r="E16" i="12"/>
  <c r="E18" i="12" s="1"/>
  <c r="L7" i="12" s="1"/>
  <c r="L8" i="12" s="1"/>
  <c r="L5" i="13" s="1"/>
  <c r="R22" i="13" s="1"/>
  <c r="X64" i="13" s="1"/>
  <c r="Y62" i="13" s="1"/>
  <c r="P23" i="12"/>
  <c r="Y62" i="12"/>
  <c r="X61" i="12"/>
  <c r="Y61" i="12" s="1"/>
  <c r="Y63" i="12"/>
  <c r="O42" i="12"/>
  <c r="P25" i="12"/>
  <c r="N42" i="12"/>
  <c r="Y64" i="11"/>
  <c r="P31" i="11"/>
  <c r="P28" i="11"/>
  <c r="O42" i="11"/>
  <c r="P49" i="11"/>
  <c r="P50" i="11" s="1"/>
  <c r="P23" i="11"/>
  <c r="E16" i="11"/>
  <c r="E18" i="11" s="1"/>
  <c r="L7" i="11" s="1"/>
  <c r="R25" i="11" s="1"/>
  <c r="S21" i="11" s="1"/>
  <c r="S42" i="11" s="1"/>
  <c r="N42" i="11"/>
  <c r="E15" i="10"/>
  <c r="E16" i="10" s="1"/>
  <c r="E18" i="10" s="1"/>
  <c r="L7" i="10" s="1"/>
  <c r="P31" i="10"/>
  <c r="P28" i="10"/>
  <c r="P23" i="10"/>
  <c r="O42" i="10"/>
  <c r="P29" i="10"/>
  <c r="N42" i="10"/>
  <c r="R22" i="19" l="1"/>
  <c r="L8" i="19"/>
  <c r="S46" i="18"/>
  <c r="W42" i="18"/>
  <c r="L8" i="13"/>
  <c r="L5" i="14" s="1"/>
  <c r="Y63" i="13"/>
  <c r="S21" i="13"/>
  <c r="S42" i="13" s="1"/>
  <c r="S46" i="13" s="1"/>
  <c r="X61" i="13"/>
  <c r="Y61" i="13" s="1"/>
  <c r="Y64" i="12"/>
  <c r="P42" i="11"/>
  <c r="W42" i="11" s="1"/>
  <c r="R25" i="12"/>
  <c r="S21" i="12" s="1"/>
  <c r="S42" i="12" s="1"/>
  <c r="P24" i="12"/>
  <c r="P42" i="12" s="1"/>
  <c r="P49" i="12"/>
  <c r="P50" i="12" s="1"/>
  <c r="L8" i="11"/>
  <c r="P42" i="10"/>
  <c r="P49" i="10"/>
  <c r="P50" i="10" s="1"/>
  <c r="L8" i="10"/>
  <c r="N76" i="10" s="1"/>
  <c r="R25" i="10"/>
  <c r="S21" i="10" s="1"/>
  <c r="S42" i="10" s="1"/>
  <c r="Y62" i="19" l="1"/>
  <c r="Y63" i="19"/>
  <c r="Y61" i="19"/>
  <c r="Y64" i="19" s="1"/>
  <c r="S21" i="19"/>
  <c r="S42" i="19" s="1"/>
  <c r="Y64" i="13"/>
  <c r="R22" i="14"/>
  <c r="L8" i="14"/>
  <c r="L5" i="15" s="1"/>
  <c r="W42" i="13"/>
  <c r="S46" i="11"/>
  <c r="S46" i="12"/>
  <c r="W42" i="12"/>
  <c r="N73" i="10"/>
  <c r="O73" i="10" s="1"/>
  <c r="O75" i="10"/>
  <c r="O74" i="10"/>
  <c r="W42" i="10"/>
  <c r="S46" i="10"/>
  <c r="S46" i="19" l="1"/>
  <c r="W42" i="19"/>
  <c r="Z64" i="19"/>
  <c r="R22" i="15"/>
  <c r="L8" i="15"/>
  <c r="X64" i="14"/>
  <c r="S21" i="14"/>
  <c r="S42" i="14" s="1"/>
  <c r="O76" i="10"/>
  <c r="L5" i="16" l="1"/>
  <c r="L8" i="16" s="1"/>
  <c r="L5" i="17" s="1"/>
  <c r="Y63" i="14"/>
  <c r="Y62" i="14"/>
  <c r="X61" i="14"/>
  <c r="Y61" i="14" s="1"/>
  <c r="W42" i="14"/>
  <c r="S46" i="14"/>
  <c r="X64" i="15"/>
  <c r="S21" i="15"/>
  <c r="S42" i="15" s="1"/>
  <c r="R22" i="16" l="1"/>
  <c r="R22" i="17"/>
  <c r="L8" i="17"/>
  <c r="Y64" i="14"/>
  <c r="S21" i="16"/>
  <c r="S42" i="16" s="1"/>
  <c r="X64" i="16"/>
  <c r="Y63" i="15"/>
  <c r="X61" i="15"/>
  <c r="Y61" i="15" s="1"/>
  <c r="Y62" i="15"/>
  <c r="W42" i="15"/>
  <c r="S46" i="15"/>
  <c r="S21" i="17" l="1"/>
  <c r="S42" i="17" s="1"/>
  <c r="X64" i="17"/>
  <c r="X61" i="16"/>
  <c r="Y61" i="16" s="1"/>
  <c r="Y62" i="16"/>
  <c r="Y63" i="16"/>
  <c r="S46" i="16"/>
  <c r="W42" i="16"/>
  <c r="Y64" i="15"/>
  <c r="Y63" i="17" l="1"/>
  <c r="Y62" i="17"/>
  <c r="X61" i="17"/>
  <c r="Y61" i="17" s="1"/>
  <c r="S46" i="17"/>
  <c r="W42" i="17"/>
  <c r="Y64" i="16"/>
  <c r="Y64" i="17" l="1"/>
</calcChain>
</file>

<file path=xl/sharedStrings.xml><?xml version="1.0" encoding="utf-8"?>
<sst xmlns="http://schemas.openxmlformats.org/spreadsheetml/2006/main" count="802" uniqueCount="116">
  <si>
    <t xml:space="preserve">HLN Solutions </t>
  </si>
  <si>
    <t xml:space="preserve">Etat de resultats </t>
  </si>
  <si>
    <t xml:space="preserve">VENTES BRUTES </t>
  </si>
  <si>
    <t xml:space="preserve">Cout des Marchandises Vendues(CMV) </t>
  </si>
  <si>
    <t xml:space="preserve">Cout des Produits Vendus </t>
  </si>
  <si>
    <t xml:space="preserve">Salaires </t>
  </si>
  <si>
    <t>MARGE BENEFICIAIRE BRUTE</t>
  </si>
  <si>
    <t xml:space="preserve">Loyer </t>
  </si>
  <si>
    <t xml:space="preserve">Publicite </t>
  </si>
  <si>
    <t xml:space="preserve">Couts d'exploitation </t>
  </si>
  <si>
    <t xml:space="preserve">Total des couts d'Exploitation </t>
  </si>
  <si>
    <t xml:space="preserve">Perte nette </t>
  </si>
  <si>
    <t xml:space="preserve">Etat des capitaux propres </t>
  </si>
  <si>
    <t xml:space="preserve">Capital initial </t>
  </si>
  <si>
    <t xml:space="preserve">Apports </t>
  </si>
  <si>
    <t xml:space="preserve">Bilan  </t>
  </si>
  <si>
    <t xml:space="preserve">Immobilisations corporelles </t>
  </si>
  <si>
    <t xml:space="preserve">Immobilisations incorporelles </t>
  </si>
  <si>
    <t>Actif Circulant</t>
  </si>
  <si>
    <t>Stocks</t>
  </si>
  <si>
    <t xml:space="preserve">Disponibles </t>
  </si>
  <si>
    <t>Comptes Banques</t>
  </si>
  <si>
    <t xml:space="preserve">Caisse </t>
  </si>
  <si>
    <r>
      <t>Actif Immobilis</t>
    </r>
    <r>
      <rPr>
        <b/>
        <sz val="14"/>
        <color theme="1"/>
        <rFont val="Calibri"/>
        <family val="2"/>
      </rPr>
      <t>é</t>
    </r>
  </si>
  <si>
    <t xml:space="preserve">Capitaux Propres </t>
  </si>
  <si>
    <t>Capital</t>
  </si>
  <si>
    <t xml:space="preserve">Dettes </t>
  </si>
  <si>
    <t>Emprunt</t>
  </si>
  <si>
    <t xml:space="preserve">Dettes Fournisseurs </t>
  </si>
  <si>
    <t>Autres dettes</t>
  </si>
  <si>
    <t xml:space="preserve">ACTIF </t>
  </si>
  <si>
    <t>PASSIF</t>
  </si>
  <si>
    <t xml:space="preserve">Autres </t>
  </si>
  <si>
    <t xml:space="preserve">Amenagements et decorations </t>
  </si>
  <si>
    <t>Frais d'Etablissements</t>
  </si>
  <si>
    <t xml:space="preserve">Materiel de bureau </t>
  </si>
  <si>
    <t xml:space="preserve">Materiel et outillage </t>
  </si>
  <si>
    <t xml:space="preserve">Materiel de transport </t>
  </si>
  <si>
    <t>Brut</t>
  </si>
  <si>
    <t>Immobilisations Financieres</t>
  </si>
  <si>
    <t>Loyer paye d'Avance</t>
  </si>
  <si>
    <t>Effet a recevoir</t>
  </si>
  <si>
    <t>Amortissements &amp; Depreciations</t>
  </si>
  <si>
    <t>Reserves</t>
  </si>
  <si>
    <t>Report a nouveau</t>
  </si>
  <si>
    <t xml:space="preserve">Resultat </t>
  </si>
  <si>
    <t>Revenus hors activites</t>
  </si>
  <si>
    <t>Resultat de la periode</t>
  </si>
  <si>
    <t xml:space="preserve">Autres depenses </t>
  </si>
  <si>
    <t>Net</t>
  </si>
  <si>
    <t xml:space="preserve">Total Passif </t>
  </si>
  <si>
    <t xml:space="preserve">Total Actif </t>
  </si>
  <si>
    <t xml:space="preserve">Amort/ Deprec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</si>
  <si>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</si>
  <si>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Pour la periode terminant le 31 Jan 2025 </t>
  </si>
  <si>
    <t>Pour la periode terminant le 31 Jan 2025</t>
  </si>
  <si>
    <t>Capital au 31 Jan 2025</t>
  </si>
  <si>
    <t xml:space="preserve">Au 31 Jan 2025 </t>
  </si>
  <si>
    <t xml:space="preserve">Frais activation lapoula &amp; impression  </t>
  </si>
  <si>
    <t>Compte Lapoula</t>
  </si>
  <si>
    <t>Montant</t>
  </si>
  <si>
    <t>Pourcentage</t>
  </si>
  <si>
    <t>Hilaire BELLEVUE</t>
  </si>
  <si>
    <t>Luckner JEAN</t>
  </si>
  <si>
    <t>Nono ST-CYR</t>
  </si>
  <si>
    <t>Total</t>
  </si>
  <si>
    <t xml:space="preserve">Part des associes au 31 Jan 2025 </t>
  </si>
  <si>
    <t xml:space="preserve">Prnom &amp; Nom </t>
  </si>
  <si>
    <t xml:space="preserve">Pour la periode terminant le 28 Fevrier 2025 </t>
  </si>
  <si>
    <t>Capital au 28 fevrier 2025</t>
  </si>
  <si>
    <t xml:space="preserve"> </t>
  </si>
  <si>
    <t xml:space="preserve">Au 28 Fevrier 2025 </t>
  </si>
  <si>
    <t xml:space="preserve">Part des associes au 28 Fevrier 2025 </t>
  </si>
  <si>
    <t xml:space="preserve">Au 31 mars 2025 </t>
  </si>
  <si>
    <t>Pour la periode terminant le 28 fevrier 2025</t>
  </si>
  <si>
    <t>Pour la periode terminant le 31 Mars 2025</t>
  </si>
  <si>
    <t xml:space="preserve">Pour la periode terminant le 31 Fevrier 2025 </t>
  </si>
  <si>
    <t xml:space="preserve">Pour la periode terminant le 30 Avril 2025 </t>
  </si>
  <si>
    <t>Pour la periode terminant le 30 Avril 2025</t>
  </si>
  <si>
    <t>Capital au 30 Avril 2025</t>
  </si>
  <si>
    <t xml:space="preserve">Au 30 Avril 2025 </t>
  </si>
  <si>
    <t xml:space="preserve">Pour la periode terminant le 31 Mai 2025 </t>
  </si>
  <si>
    <t>Pour la periode terminant le 31 Mai 2025</t>
  </si>
  <si>
    <t xml:space="preserve">Au 31 Mai 2025 </t>
  </si>
  <si>
    <t xml:space="preserve">Pour la periode terminant le 30 Juin 2025 </t>
  </si>
  <si>
    <t>Pour la periode terminant le 30 Juin 2025</t>
  </si>
  <si>
    <t xml:space="preserve">Au 30 Juin 2025 </t>
  </si>
  <si>
    <t>Capital au 30 Juin 2025</t>
  </si>
  <si>
    <t xml:space="preserve">Pour la periode terminant le 31 Juillet 2025 </t>
  </si>
  <si>
    <t xml:space="preserve">Au 31 Juillet 2025 </t>
  </si>
  <si>
    <t>Capital au 31 Juillet 2025</t>
  </si>
  <si>
    <r>
      <t>Etat des r</t>
    </r>
    <r>
      <rPr>
        <b/>
        <sz val="14"/>
        <color theme="1"/>
        <rFont val="Aptos Narrow"/>
        <family val="2"/>
      </rPr>
      <t>é</t>
    </r>
    <r>
      <rPr>
        <b/>
        <i/>
        <sz val="14"/>
        <color theme="1"/>
        <rFont val="Calibri"/>
        <family val="2"/>
        <scheme val="minor"/>
      </rPr>
      <t xml:space="preserve">sultats </t>
    </r>
  </si>
  <si>
    <r>
      <t>Pour la p</t>
    </r>
    <r>
      <rPr>
        <b/>
        <sz val="11"/>
        <color theme="1"/>
        <rFont val="Aptos Narrow"/>
        <family val="2"/>
      </rPr>
      <t>é</t>
    </r>
    <r>
      <rPr>
        <b/>
        <sz val="11"/>
        <color theme="1"/>
        <rFont val="Calibri"/>
        <family val="2"/>
        <scheme val="minor"/>
      </rPr>
      <t>riode terminant le 31 Juillet 2025</t>
    </r>
  </si>
  <si>
    <t xml:space="preserve">Pour la periode terminant le 31 Aout 2025 </t>
  </si>
  <si>
    <r>
      <t>Pour la p</t>
    </r>
    <r>
      <rPr>
        <b/>
        <sz val="11"/>
        <color theme="1"/>
        <rFont val="Aptos Narrow"/>
        <family val="2"/>
      </rPr>
      <t>é</t>
    </r>
    <r>
      <rPr>
        <b/>
        <sz val="11"/>
        <color theme="1"/>
        <rFont val="Calibri"/>
        <family val="2"/>
        <scheme val="minor"/>
      </rPr>
      <t>riode terminant le 31 Aout 2025</t>
    </r>
  </si>
  <si>
    <t>Capital au 31 Aout 2025</t>
  </si>
  <si>
    <t xml:space="preserve">Au 31 Aout 2025 </t>
  </si>
  <si>
    <t xml:space="preserve">Pour la periode terminant le 30 Sept 2025 </t>
  </si>
  <si>
    <r>
      <t>Pour la p</t>
    </r>
    <r>
      <rPr>
        <b/>
        <sz val="11"/>
        <color theme="1"/>
        <rFont val="Aptos Narrow"/>
        <family val="2"/>
      </rPr>
      <t>é</t>
    </r>
    <r>
      <rPr>
        <b/>
        <sz val="11"/>
        <color theme="1"/>
        <rFont val="Calibri"/>
        <family val="2"/>
        <scheme val="minor"/>
      </rPr>
      <t>riode terminant le 30 Sept 2025</t>
    </r>
  </si>
  <si>
    <t xml:space="preserve">Au 30 Sept 2025 </t>
  </si>
  <si>
    <r>
      <t>R</t>
    </r>
    <r>
      <rPr>
        <b/>
        <sz val="14"/>
        <color theme="1"/>
        <rFont val="Aptos Narrow"/>
        <family val="2"/>
      </rPr>
      <t>é</t>
    </r>
    <r>
      <rPr>
        <b/>
        <sz val="14"/>
        <color theme="1"/>
        <rFont val="Calibri"/>
        <family val="2"/>
        <scheme val="minor"/>
      </rPr>
      <t>sultat de la p</t>
    </r>
    <r>
      <rPr>
        <b/>
        <sz val="14"/>
        <color theme="1"/>
        <rFont val="Aptos Narrow"/>
        <family val="2"/>
      </rPr>
      <t>é</t>
    </r>
    <r>
      <rPr>
        <b/>
        <sz val="14"/>
        <color theme="1"/>
        <rFont val="Calibri"/>
        <family val="2"/>
        <scheme val="minor"/>
      </rPr>
      <t>riode</t>
    </r>
  </si>
  <si>
    <t>Amortissements &amp; Dépréciations</t>
  </si>
  <si>
    <t>Publicité</t>
  </si>
  <si>
    <t>Capital au 30 Sept 2025</t>
  </si>
  <si>
    <t xml:space="preserve">Pour la periode terminant le 31 Oct 2025 </t>
  </si>
  <si>
    <r>
      <t>Pour la p</t>
    </r>
    <r>
      <rPr>
        <b/>
        <sz val="11"/>
        <color theme="1"/>
        <rFont val="Aptos Narrow"/>
        <family val="2"/>
      </rPr>
      <t>é</t>
    </r>
    <r>
      <rPr>
        <b/>
        <sz val="11"/>
        <color theme="1"/>
        <rFont val="Calibri"/>
        <family val="2"/>
        <scheme val="minor"/>
      </rPr>
      <t>riode terminant le 31 Oct 2025</t>
    </r>
  </si>
  <si>
    <t>Capital au 31 Oct 2025</t>
  </si>
  <si>
    <t xml:space="preserve">Au 31 Oct 2025 </t>
  </si>
  <si>
    <t>Montant invest</t>
  </si>
  <si>
    <t>Montant Actuel</t>
  </si>
  <si>
    <t xml:space="preserve">Part des associes au 31 Oct 2025 </t>
  </si>
  <si>
    <t xml:space="preserve">Pour la periode terminant le 30 Nov 2025 </t>
  </si>
  <si>
    <r>
      <t>Pour la p</t>
    </r>
    <r>
      <rPr>
        <b/>
        <sz val="11"/>
        <color theme="1"/>
        <rFont val="Aptos Narrow"/>
        <family val="2"/>
      </rPr>
      <t>é</t>
    </r>
    <r>
      <rPr>
        <b/>
        <sz val="11"/>
        <color theme="1"/>
        <rFont val="Calibri"/>
        <family val="2"/>
        <scheme val="minor"/>
      </rPr>
      <t>riode terminant le 30 Nov 2025</t>
    </r>
  </si>
  <si>
    <t xml:space="preserve">Au 30 Nov 2025 </t>
  </si>
  <si>
    <t xml:space="preserve">Part des associes au 30 Nov 2025 </t>
  </si>
  <si>
    <t>Capital au 30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</si>
</sst>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 val="double"/>
      <sz val="14"/>
      <color theme="1"/>
      <name val="Times New Roman"/>
      <family val="1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0" fontId="4" fillId="0" borderId="0" xfId="0" applyFont="1"/>
    <xf numFmtId="4" fontId="5" fillId="0" borderId="0" xfId="0" applyNumberFormat="1" applyFont="1"/>
    <xf numFmtId="0" fontId="6" fillId="0" borderId="0" xfId="0" applyFont="1"/>
    <xf numFmtId="4" fontId="7" fillId="0" borderId="0" xfId="0" applyNumberFormat="1" applyFont="1"/>
    <xf numFmtId="0" fontId="2" fillId="0" borderId="0" xfId="0" applyFont="1"/>
    <xf numFmtId="0" fontId="1" fillId="0" borderId="0" xfId="0" applyFont="1"/>
    <xf numFmtId="0" fontId="9" fillId="0" borderId="0" xfId="0" applyFont="1"/>
    <xf numFmtId="4" fontId="4" fillId="0" borderId="0" xfId="0" applyNumberFormat="1" applyFont="1"/>
    <xf numFmtId="4" fontId="10" fillId="0" borderId="0" xfId="0" applyNumberFormat="1" applyFont="1"/>
    <xf numFmtId="0" fontId="10" fillId="0" borderId="0" xfId="0" applyFont="1"/>
    <xf numFmtId="4" fontId="10" fillId="0" borderId="0" xfId="0" applyNumberFormat="1" applyFont="1" applyAlignment="1">
      <alignment horizontal="center"/>
    </xf>
    <xf numFmtId="4" fontId="11" fillId="0" borderId="0" xfId="0" applyNumberFormat="1" applyFont="1"/>
    <xf numFmtId="0" fontId="1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4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3" fontId="13" fillId="0" borderId="5" xfId="0" applyNumberFormat="1" applyFont="1" applyBorder="1" applyAlignment="1">
      <alignment horizontal="right" vertical="center"/>
    </xf>
    <xf numFmtId="10" fontId="13" fillId="0" borderId="5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0" fontId="14" fillId="0" borderId="5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OneDrive%20-%20Universite%20de%20Lorraine\Documents\DOSSIER%20HLN\Etat%20financier\Bilan%20d'Ouverture\Bilan%20d'ouverture.xlsx" TargetMode="External"/><Relationship Id="rId1" Type="http://schemas.openxmlformats.org/officeDocument/2006/relationships/externalLinkPath" Target="/Users/DELL/OneDrive%20-%20Universite%20de%20Lorraine/Documents/DOSSIER%20HLN/Etat%20financier/Bilan%20d'Ouverture/Bilan%20d'ouver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lan d'Ouverture "/>
      <sheetName val="Tableau d'Amortissement"/>
      <sheetName val="Tableau d'amortissement loyer"/>
      <sheetName val="Part des Associes "/>
    </sheetNames>
    <sheetDataSet>
      <sheetData sheetId="0"/>
      <sheetData sheetId="1"/>
      <sheetData sheetId="2">
        <row r="4">
          <cell r="D4">
            <v>8333.3333333333339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303C-555D-4F30-AC4F-C67F25ADC139}">
  <dimension ref="B2:W76"/>
  <sheetViews>
    <sheetView topLeftCell="I47" workbookViewId="0">
      <selection activeCell="M71" sqref="M71:O76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54</v>
      </c>
      <c r="C4" s="33"/>
      <c r="D4" s="33"/>
      <c r="E4" s="33"/>
      <c r="I4" s="33" t="s">
        <v>55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54950</v>
      </c>
      <c r="I5" t="s">
        <v>13</v>
      </c>
      <c r="J5" s="35"/>
      <c r="K5" s="35"/>
      <c r="L5" s="1">
        <v>955494.65</v>
      </c>
    </row>
    <row r="6" spans="2:13" x14ac:dyDescent="0.35">
      <c r="B6" t="s">
        <v>3</v>
      </c>
      <c r="C6" s="35">
        <v>38404.199999999997</v>
      </c>
      <c r="D6" s="35"/>
      <c r="I6" t="s">
        <v>14</v>
      </c>
      <c r="J6" s="35"/>
      <c r="K6" s="35"/>
      <c r="L6" s="1">
        <f>10000+149684.5427</f>
        <v>159684.54269999999</v>
      </c>
    </row>
    <row r="7" spans="2:13" x14ac:dyDescent="0.35">
      <c r="B7" t="s">
        <v>4</v>
      </c>
      <c r="C7" s="35"/>
      <c r="D7" s="35"/>
      <c r="E7" s="2">
        <f>C6</f>
        <v>38404.199999999997</v>
      </c>
      <c r="I7" t="s">
        <v>11</v>
      </c>
      <c r="J7" s="35"/>
      <c r="K7" s="35"/>
      <c r="L7" s="1">
        <f>E18</f>
        <v>-31696.465833333328</v>
      </c>
    </row>
    <row r="8" spans="2:13" ht="17.5" x14ac:dyDescent="0.35">
      <c r="B8" t="s">
        <v>6</v>
      </c>
      <c r="C8" s="35"/>
      <c r="D8" s="35"/>
      <c r="E8">
        <f>E5-C6</f>
        <v>16545.800000000003</v>
      </c>
      <c r="I8" s="4" t="s">
        <v>56</v>
      </c>
      <c r="J8" s="35"/>
      <c r="K8" s="35"/>
      <c r="L8" s="5">
        <f>SUM(L5:L7)</f>
        <v>1083482.7268666667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25000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8</v>
      </c>
      <c r="C12" s="34">
        <f>(20802.71/12)+(40756/12)+(29040/12)</f>
        <v>7549.8924999999999</v>
      </c>
      <c r="D12" s="34"/>
      <c r="J12" s="1"/>
    </row>
    <row r="13" spans="2:13" x14ac:dyDescent="0.35">
      <c r="B13" t="s">
        <v>42</v>
      </c>
      <c r="C13" s="34">
        <f>25692.72</f>
        <v>25692.720000000001</v>
      </c>
      <c r="D13" s="35"/>
    </row>
    <row r="14" spans="2:13" x14ac:dyDescent="0.35">
      <c r="B14" t="s">
        <v>48</v>
      </c>
      <c r="C14" s="34">
        <f>30000/12+11650/12</f>
        <v>3470.8333333333335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SUM(C10:D13)</f>
        <v>66575.945833333331</v>
      </c>
    </row>
    <row r="16" spans="2:13" ht="15.5" x14ac:dyDescent="0.35">
      <c r="B16" s="14" t="s">
        <v>11</v>
      </c>
      <c r="C16" s="35"/>
      <c r="D16" s="35"/>
      <c r="E16" s="13">
        <f>E8-E15</f>
        <v>-50030.145833333328</v>
      </c>
    </row>
    <row r="17" spans="2:19" ht="18.5" x14ac:dyDescent="0.45">
      <c r="B17" t="s">
        <v>46</v>
      </c>
      <c r="C17" s="35">
        <f>18000+333.68</f>
        <v>18333.68</v>
      </c>
      <c r="D17" s="35"/>
      <c r="E17">
        <f>C17</f>
        <v>18333.68</v>
      </c>
      <c r="M17" s="31"/>
      <c r="N17" s="31"/>
      <c r="O17" s="31"/>
      <c r="P17" s="31"/>
      <c r="Q17" s="31"/>
      <c r="R17" s="31"/>
      <c r="S17" s="31"/>
    </row>
    <row r="18" spans="2:19" ht="18.5" x14ac:dyDescent="0.45">
      <c r="B18" s="6" t="s">
        <v>47</v>
      </c>
      <c r="E18" s="3">
        <f>E16+E17</f>
        <v>-31696.465833333328</v>
      </c>
      <c r="M18" s="32" t="s">
        <v>15</v>
      </c>
      <c r="N18" s="32"/>
      <c r="O18" s="32"/>
      <c r="P18" s="32"/>
      <c r="Q18" s="32"/>
      <c r="R18" s="32"/>
      <c r="S18" s="32"/>
    </row>
    <row r="19" spans="2:19" x14ac:dyDescent="0.35">
      <c r="H19">
        <f>25000+1350+2690</f>
        <v>29040</v>
      </c>
      <c r="M19" s="33" t="s">
        <v>57</v>
      </c>
      <c r="N19" s="33"/>
      <c r="O19" s="33"/>
      <c r="P19" s="33"/>
      <c r="Q19" s="33"/>
      <c r="R19" s="33"/>
      <c r="S19" s="33"/>
    </row>
    <row r="20" spans="2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2:19" ht="18.5" x14ac:dyDescent="0.45">
      <c r="M21" s="6" t="s">
        <v>23</v>
      </c>
      <c r="Q21" s="6" t="s">
        <v>24</v>
      </c>
      <c r="R21" s="6"/>
      <c r="S21" s="1">
        <f>+R22+R25+R24</f>
        <v>653757.47686666669</v>
      </c>
    </row>
    <row r="22" spans="2:19" ht="15.5" x14ac:dyDescent="0.35">
      <c r="M22" s="8" t="s">
        <v>17</v>
      </c>
      <c r="Q22" t="s">
        <v>25</v>
      </c>
      <c r="R22" s="1">
        <f>L5+L6</f>
        <v>1115179.1927</v>
      </c>
    </row>
    <row r="23" spans="2:19" ht="15.5" x14ac:dyDescent="0.35">
      <c r="M23" s="4" t="s">
        <v>34</v>
      </c>
      <c r="N23">
        <f>1250+10000+10518+1250+5500+20000+82292.65+41282.51+80302.31</f>
        <v>252395.47</v>
      </c>
      <c r="O23" s="18">
        <f>(N23/48)*13</f>
        <v>68357.106458333335</v>
      </c>
      <c r="P23" s="1">
        <f>N23-O23</f>
        <v>184038.36354166665</v>
      </c>
      <c r="Q23" t="s">
        <v>43</v>
      </c>
      <c r="R23" s="1">
        <v>0</v>
      </c>
    </row>
    <row r="24" spans="2:19" ht="15.5" x14ac:dyDescent="0.35">
      <c r="M24" s="4" t="s">
        <v>33</v>
      </c>
      <c r="N24">
        <f>15000+11000</f>
        <v>26000</v>
      </c>
      <c r="O24" s="18">
        <f>(N24/18)*13</f>
        <v>18777.777777777777</v>
      </c>
      <c r="P24" s="1">
        <f>N24-O24</f>
        <v>7222.2222222222226</v>
      </c>
      <c r="Q24" t="s">
        <v>44</v>
      </c>
      <c r="R24" s="1">
        <f>-386036.46-13500-27500-37359.67-88819.54+33613.94-29972.5+87532.4+56880.81+36807.67+9938.26+10872.6+15048.45-17021.9-80209.31</f>
        <v>-429725.25</v>
      </c>
    </row>
    <row r="25" spans="2:19" x14ac:dyDescent="0.35">
      <c r="M25" t="s">
        <v>58</v>
      </c>
      <c r="N25">
        <f>11650</f>
        <v>11650</v>
      </c>
      <c r="O25" s="18">
        <f>(N25/12)*1</f>
        <v>970.83333333333337</v>
      </c>
      <c r="P25" s="1">
        <f>N25-O25</f>
        <v>10679.166666666666</v>
      </c>
      <c r="Q25" t="s">
        <v>45</v>
      </c>
      <c r="R25" s="1">
        <f>L7</f>
        <v>-31696.465833333328</v>
      </c>
    </row>
    <row r="26" spans="2:19" ht="15.5" x14ac:dyDescent="0.35">
      <c r="M26" s="4" t="s">
        <v>32</v>
      </c>
      <c r="N26">
        <v>40964.300000000003</v>
      </c>
      <c r="O26" s="18">
        <f>(N26/18)*13</f>
        <v>29585.32777777778</v>
      </c>
      <c r="P26" s="1">
        <f>N26-O26</f>
        <v>11378.972222222223</v>
      </c>
      <c r="R26" s="1"/>
    </row>
    <row r="27" spans="2:19" ht="15.5" x14ac:dyDescent="0.35">
      <c r="M27" s="8" t="s">
        <v>16</v>
      </c>
      <c r="O27" s="17"/>
      <c r="R27" s="9"/>
    </row>
    <row r="28" spans="2:19" x14ac:dyDescent="0.35">
      <c r="M28" t="s">
        <v>35</v>
      </c>
      <c r="N28">
        <f>20000+9000</f>
        <v>29000</v>
      </c>
      <c r="O28" s="18">
        <f>(N28/48)*13</f>
        <v>7854.1666666666661</v>
      </c>
      <c r="P28" s="1">
        <f>N28-O28</f>
        <v>21145.833333333336</v>
      </c>
    </row>
    <row r="29" spans="2:19" x14ac:dyDescent="0.35">
      <c r="M29" t="s">
        <v>36</v>
      </c>
      <c r="N29">
        <f>2500+750+1200+2000+15000+25000</f>
        <v>46450</v>
      </c>
      <c r="O29" s="18">
        <f>(N29/24)*13</f>
        <v>25160.416666666668</v>
      </c>
      <c r="P29" s="1">
        <f t="shared" ref="P29:P31" si="0">N29-O29</f>
        <v>21289.583333333332</v>
      </c>
    </row>
    <row r="30" spans="2:19" x14ac:dyDescent="0.35">
      <c r="M30" t="s">
        <v>37</v>
      </c>
      <c r="N30">
        <v>128000</v>
      </c>
      <c r="O30" s="18">
        <f>(N30/18)*13</f>
        <v>92444.444444444453</v>
      </c>
      <c r="P30" s="1">
        <f t="shared" si="0"/>
        <v>35555.555555555547</v>
      </c>
    </row>
    <row r="31" spans="2:19" x14ac:dyDescent="0.35">
      <c r="M31" t="s">
        <v>32</v>
      </c>
      <c r="N31">
        <f>5000+6000</f>
        <v>11000</v>
      </c>
      <c r="O31" s="18">
        <f>(5000/12)*12+(6000/12)*6</f>
        <v>8000</v>
      </c>
      <c r="P31" s="1">
        <f t="shared" si="0"/>
        <v>3000</v>
      </c>
    </row>
    <row r="32" spans="2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8333.33*14</f>
        <v>116666.62</v>
      </c>
      <c r="P33">
        <f>N33-O33</f>
        <v>83333.38</v>
      </c>
    </row>
    <row r="34" spans="13:23" ht="15.5" x14ac:dyDescent="0.35">
      <c r="M34" s="4" t="s">
        <v>41</v>
      </c>
      <c r="N34">
        <v>10000</v>
      </c>
      <c r="O34" s="17"/>
      <c r="P34">
        <v>10000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>
        <v>238880</v>
      </c>
      <c r="O37" s="17"/>
      <c r="P37" s="15">
        <f>N37</f>
        <v>238880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>
        <f>N41+N39+N40</f>
        <v>27234.400000000001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>
        <v>9880</v>
      </c>
      <c r="O40" s="17"/>
    </row>
    <row r="41" spans="13:23" x14ac:dyDescent="0.35">
      <c r="M41" t="s">
        <v>22</v>
      </c>
      <c r="N41">
        <v>15985.4</v>
      </c>
      <c r="O41" s="17"/>
    </row>
    <row r="42" spans="13:23" ht="18.5" x14ac:dyDescent="0.45">
      <c r="M42" s="6" t="s">
        <v>51</v>
      </c>
      <c r="N42" s="11">
        <f>SUM(N23:N39)</f>
        <v>995708.77</v>
      </c>
      <c r="O42" s="12">
        <f>SUM(O23:O33)</f>
        <v>367816.69312499999</v>
      </c>
      <c r="P42" s="10">
        <f>SUM(P23:P38)</f>
        <v>653757.47687500005</v>
      </c>
      <c r="Q42" s="6" t="s">
        <v>50</v>
      </c>
      <c r="R42" s="6"/>
      <c r="S42" s="10">
        <f>S21</f>
        <v>653757.47686666669</v>
      </c>
      <c r="W42" s="1">
        <f>P42-S42</f>
        <v>8.3333579823374748E-6</v>
      </c>
    </row>
    <row r="46" spans="13:23" x14ac:dyDescent="0.35">
      <c r="S46" s="1">
        <f>P42-S42</f>
        <v>8.3333579823374748E-6</v>
      </c>
    </row>
    <row r="49" spans="16:16" x14ac:dyDescent="0.35">
      <c r="P49" s="1">
        <f>SUM(O23:O31)</f>
        <v>251150.073125</v>
      </c>
    </row>
    <row r="50" spans="16:16" x14ac:dyDescent="0.35">
      <c r="P50">
        <f>P49/8</f>
        <v>31393.759140624999</v>
      </c>
    </row>
    <row r="70" spans="13:15" ht="15" thickBot="1" x14ac:dyDescent="0.4"/>
    <row r="71" spans="13:15" ht="15" thickBot="1" x14ac:dyDescent="0.4">
      <c r="M71" s="28" t="s">
        <v>66</v>
      </c>
      <c r="N71" s="29"/>
      <c r="O71" s="30"/>
    </row>
    <row r="72" spans="13:15" ht="15" thickBot="1" x14ac:dyDescent="0.4">
      <c r="M72" s="19" t="s">
        <v>67</v>
      </c>
      <c r="N72" s="20" t="s">
        <v>60</v>
      </c>
      <c r="O72" s="20" t="s">
        <v>61</v>
      </c>
    </row>
    <row r="73" spans="13:15" ht="15" thickBot="1" x14ac:dyDescent="0.4">
      <c r="M73" s="19" t="s">
        <v>62</v>
      </c>
      <c r="N73" s="21">
        <f>N76-151038-115000</f>
        <v>817444.72686666669</v>
      </c>
      <c r="O73" s="22">
        <f>N73/N76</f>
        <v>0.75446032188315759</v>
      </c>
    </row>
    <row r="74" spans="13:15" ht="15" thickBot="1" x14ac:dyDescent="0.4">
      <c r="M74" s="19" t="s">
        <v>63</v>
      </c>
      <c r="N74" s="21">
        <v>151038</v>
      </c>
      <c r="O74" s="22">
        <f>N74/N76</f>
        <v>0.13940046874285494</v>
      </c>
    </row>
    <row r="75" spans="13:15" ht="15" thickBot="1" x14ac:dyDescent="0.4">
      <c r="M75" s="19" t="s">
        <v>64</v>
      </c>
      <c r="N75" s="21">
        <v>115000</v>
      </c>
      <c r="O75" s="22">
        <f>N75/N76</f>
        <v>0.10613920937398745</v>
      </c>
    </row>
    <row r="76" spans="13:15" ht="15" thickBot="1" x14ac:dyDescent="0.4">
      <c r="M76" s="19" t="s">
        <v>65</v>
      </c>
      <c r="N76" s="21">
        <f>L8</f>
        <v>1083482.7268666667</v>
      </c>
      <c r="O76" s="22">
        <f>O73+O74+O75</f>
        <v>1</v>
      </c>
    </row>
  </sheetData>
  <mergeCells count="27">
    <mergeCell ref="B2:E2"/>
    <mergeCell ref="I2:L2"/>
    <mergeCell ref="B3:E3"/>
    <mergeCell ref="I3:L3"/>
    <mergeCell ref="B4:E4"/>
    <mergeCell ref="I4:L4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M71:O71"/>
    <mergeCell ref="M17:S17"/>
    <mergeCell ref="M18:S18"/>
    <mergeCell ref="M19:S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A3AA-6124-4776-8858-8929BA4BB50F}">
  <dimension ref="A2:Y76"/>
  <sheetViews>
    <sheetView topLeftCell="M39" workbookViewId="0">
      <selection activeCell="K10" sqref="K10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6328125" customWidth="1"/>
    <col min="25" max="25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68</v>
      </c>
      <c r="C4" s="33"/>
      <c r="D4" s="33"/>
      <c r="E4" s="33"/>
      <c r="I4" s="33" t="s">
        <v>74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32175</v>
      </c>
      <c r="I5" t="s">
        <v>13</v>
      </c>
      <c r="J5" s="35"/>
      <c r="K5" s="35"/>
      <c r="L5" s="1">
        <v>1083482.73</v>
      </c>
    </row>
    <row r="6" spans="2:13" x14ac:dyDescent="0.35">
      <c r="B6" t="s">
        <v>3</v>
      </c>
      <c r="C6" s="35">
        <v>22367.5</v>
      </c>
      <c r="D6" s="35"/>
      <c r="I6" t="s">
        <v>14</v>
      </c>
      <c r="J6" s="35"/>
      <c r="K6" s="35"/>
      <c r="L6" s="1">
        <f>38875+10000</f>
        <v>48875</v>
      </c>
    </row>
    <row r="7" spans="2:13" x14ac:dyDescent="0.35">
      <c r="B7" t="s">
        <v>4</v>
      </c>
      <c r="C7" s="35"/>
      <c r="D7" s="35"/>
      <c r="E7" s="2">
        <f>C6</f>
        <v>22367.5</v>
      </c>
      <c r="I7" t="s">
        <v>11</v>
      </c>
      <c r="J7" s="35"/>
      <c r="K7" s="35"/>
      <c r="L7" s="1">
        <f>E18</f>
        <v>-69568.229166666657</v>
      </c>
    </row>
    <row r="8" spans="2:13" ht="17.5" x14ac:dyDescent="0.35">
      <c r="B8" t="s">
        <v>6</v>
      </c>
      <c r="C8" s="35"/>
      <c r="D8" s="35"/>
      <c r="E8">
        <f>E5-C6</f>
        <v>9807.5</v>
      </c>
      <c r="I8" s="4" t="s">
        <v>69</v>
      </c>
      <c r="J8" s="35"/>
      <c r="K8" s="35"/>
      <c r="L8" s="5">
        <f>SUM(L5:L7)</f>
        <v>1062789.5008333332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25000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8</v>
      </c>
      <c r="C12" s="34">
        <f>(20802.71/12)+(40756/12)+(29040/12)</f>
        <v>7549.8924999999999</v>
      </c>
      <c r="D12" s="34"/>
      <c r="J12" s="1"/>
    </row>
    <row r="13" spans="2:13" x14ac:dyDescent="0.35">
      <c r="B13" t="s">
        <v>42</v>
      </c>
      <c r="C13" s="34">
        <f>25692.72</f>
        <v>25692.720000000001</v>
      </c>
      <c r="D13" s="35"/>
    </row>
    <row r="14" spans="2:13" x14ac:dyDescent="0.35">
      <c r="B14" t="s">
        <v>48</v>
      </c>
      <c r="C14" s="34">
        <f>30000/12+11650/12+21750</f>
        <v>25220.833333333332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91796.77916666666</v>
      </c>
    </row>
    <row r="16" spans="2:13" ht="15.5" x14ac:dyDescent="0.35">
      <c r="B16" s="14" t="s">
        <v>11</v>
      </c>
      <c r="C16" s="35"/>
      <c r="D16" s="35"/>
      <c r="E16" s="13">
        <f>E8-E15</f>
        <v>-81989.27916666666</v>
      </c>
    </row>
    <row r="17" spans="1:19" ht="18.5" x14ac:dyDescent="0.45">
      <c r="B17" t="s">
        <v>46</v>
      </c>
      <c r="C17" s="35">
        <f>12000+421.05</f>
        <v>12421.05</v>
      </c>
      <c r="D17" s="35"/>
      <c r="E17">
        <f>C17</f>
        <v>12421.05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47</v>
      </c>
      <c r="E18" s="3">
        <f>E16+E17</f>
        <v>-69568.229166666657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H19">
        <f>25000+1350+2690</f>
        <v>29040</v>
      </c>
      <c r="M19" s="33" t="s">
        <v>71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711371.86083333334</v>
      </c>
    </row>
    <row r="22" spans="1:19" ht="15.5" x14ac:dyDescent="0.35">
      <c r="M22" s="8" t="s">
        <v>17</v>
      </c>
      <c r="Q22" t="s">
        <v>25</v>
      </c>
      <c r="R22" s="1">
        <f>L5+L6</f>
        <v>1132357.73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(N23/48)*14</f>
        <v>73615.345416666663</v>
      </c>
      <c r="P23" s="1">
        <f>N23-O23</f>
        <v>178780.12458333332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(N24/18)*14</f>
        <v>20222.222222222219</v>
      </c>
      <c r="P24" s="1">
        <f>N24-O24</f>
        <v>5777.777777777781</v>
      </c>
      <c r="Q24" t="s">
        <v>44</v>
      </c>
      <c r="R24" s="1">
        <f>-386036.46-13500-27500-37359.67-88819.54+33613.94-29972.5+87532.4+56880.81+36807.67+9938.26+10872.6+15048.45-17021.9-80209.31+88728.66-421.05-10000</f>
        <v>-351417.63999999996</v>
      </c>
    </row>
    <row r="25" spans="1:19" x14ac:dyDescent="0.35">
      <c r="M25" t="s">
        <v>58</v>
      </c>
      <c r="N25">
        <f>11650</f>
        <v>11650</v>
      </c>
      <c r="O25" s="18">
        <f>(N25/12)*2</f>
        <v>1941.6666666666667</v>
      </c>
      <c r="P25" s="1">
        <f>N25-O25</f>
        <v>9708.3333333333339</v>
      </c>
      <c r="Q25" t="s">
        <v>45</v>
      </c>
      <c r="R25" s="1">
        <f>L7</f>
        <v>-69568.229166666657</v>
      </c>
    </row>
    <row r="26" spans="1:19" ht="15.5" x14ac:dyDescent="0.35">
      <c r="M26" s="4" t="s">
        <v>32</v>
      </c>
      <c r="N26">
        <v>40964.300000000003</v>
      </c>
      <c r="O26" s="18">
        <f>(N26/18)*14</f>
        <v>31861.122222222228</v>
      </c>
      <c r="P26" s="1">
        <f>N26-O26</f>
        <v>9103.1777777777752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(N28/48)*14</f>
        <v>8458.3333333333321</v>
      </c>
      <c r="P28" s="1">
        <f>N28-O28</f>
        <v>20541.666666666668</v>
      </c>
    </row>
    <row r="29" spans="1:19" x14ac:dyDescent="0.35">
      <c r="M29" t="s">
        <v>36</v>
      </c>
      <c r="N29">
        <f>2500+750+1200+2000+15000+25000</f>
        <v>46450</v>
      </c>
      <c r="O29" s="18">
        <f>(N29/24)*14</f>
        <v>27095.833333333336</v>
      </c>
      <c r="P29" s="1">
        <f t="shared" ref="P29:P31" si="0">N29-O29</f>
        <v>19354.166666666664</v>
      </c>
    </row>
    <row r="30" spans="1:19" x14ac:dyDescent="0.35">
      <c r="M30" t="s">
        <v>37</v>
      </c>
      <c r="N30">
        <v>128000</v>
      </c>
      <c r="O30" s="18">
        <f>(N30/18)*14</f>
        <v>99555.555555555562</v>
      </c>
      <c r="P30" s="1">
        <f t="shared" si="0"/>
        <v>28444.444444444438</v>
      </c>
    </row>
    <row r="31" spans="1:19" x14ac:dyDescent="0.35">
      <c r="M31" t="s">
        <v>32</v>
      </c>
      <c r="N31">
        <f>(5000+6000+9695)</f>
        <v>20695</v>
      </c>
      <c r="O31" s="18">
        <f>(5000/12)*13+(6000/12)*7+(9695/12)*1</f>
        <v>9724.5833333333339</v>
      </c>
      <c r="P31" s="1">
        <f t="shared" si="0"/>
        <v>10970.416666666666</v>
      </c>
    </row>
    <row r="32" spans="1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8333.33*15</f>
        <v>124999.95</v>
      </c>
      <c r="P33">
        <f>N33-O33</f>
        <v>75000.05</v>
      </c>
    </row>
    <row r="34" spans="13:23" ht="15.5" x14ac:dyDescent="0.35">
      <c r="M34" s="4" t="s">
        <v>41</v>
      </c>
      <c r="N34">
        <v>10000</v>
      </c>
      <c r="O34" s="17"/>
      <c r="P34">
        <v>10000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>
        <v>318357.7</v>
      </c>
      <c r="O37" s="17"/>
      <c r="P37" s="15">
        <f>N37</f>
        <v>318357.7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>
        <f>N41+N39+N40</f>
        <v>25334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>
        <v>9880</v>
      </c>
      <c r="O40" s="17"/>
    </row>
    <row r="41" spans="13:23" x14ac:dyDescent="0.35">
      <c r="M41" t="s">
        <v>22</v>
      </c>
      <c r="N41">
        <v>14085</v>
      </c>
      <c r="O41" s="17"/>
    </row>
    <row r="42" spans="13:23" ht="18.5" x14ac:dyDescent="0.45">
      <c r="M42" s="6" t="s">
        <v>51</v>
      </c>
      <c r="N42" s="11">
        <f>SUM(N23:N39)</f>
        <v>1084881.47</v>
      </c>
      <c r="O42" s="12">
        <f>SUM(O23:O33)</f>
        <v>397474.61208333331</v>
      </c>
      <c r="P42" s="10">
        <f>SUM(P23:P38)</f>
        <v>711371.85791666666</v>
      </c>
      <c r="Q42" s="6" t="s">
        <v>50</v>
      </c>
      <c r="R42" s="6"/>
      <c r="S42" s="10">
        <f>S21</f>
        <v>711371.86083333334</v>
      </c>
      <c r="W42" s="1">
        <f>P42-S42</f>
        <v>-2.916666679084301E-3</v>
      </c>
    </row>
    <row r="46" spans="13:23" x14ac:dyDescent="0.35">
      <c r="S46" s="1">
        <f>P42-S42</f>
        <v>-2.916666679084301E-3</v>
      </c>
    </row>
    <row r="49" spans="16:25" x14ac:dyDescent="0.35">
      <c r="P49" s="1">
        <f>SUM(O23:O31)</f>
        <v>272474.6620833333</v>
      </c>
    </row>
    <row r="50" spans="16:25" x14ac:dyDescent="0.35">
      <c r="P50">
        <f>P49/8</f>
        <v>34059.332760416662</v>
      </c>
    </row>
    <row r="58" spans="16:25" ht="15" thickBot="1" x14ac:dyDescent="0.4"/>
    <row r="59" spans="16:25" ht="15" thickBot="1" x14ac:dyDescent="0.4">
      <c r="W59" s="28" t="s">
        <v>72</v>
      </c>
      <c r="X59" s="29"/>
      <c r="Y59" s="30"/>
    </row>
    <row r="60" spans="16:25" ht="15" thickBot="1" x14ac:dyDescent="0.4">
      <c r="W60" s="19" t="s">
        <v>67</v>
      </c>
      <c r="X60" s="20" t="s">
        <v>60</v>
      </c>
      <c r="Y60" s="20" t="s">
        <v>61</v>
      </c>
    </row>
    <row r="61" spans="16:25" ht="15" thickBot="1" x14ac:dyDescent="0.4">
      <c r="W61" s="19" t="s">
        <v>62</v>
      </c>
      <c r="X61" s="21">
        <f>X64-151038-140000</f>
        <v>841319.73</v>
      </c>
      <c r="Y61" s="22">
        <f>X61/X64</f>
        <v>0.74298051553019384</v>
      </c>
    </row>
    <row r="62" spans="16:25" ht="15" thickBot="1" x14ac:dyDescent="0.4">
      <c r="W62" s="19" t="s">
        <v>63</v>
      </c>
      <c r="X62" s="21">
        <v>151038</v>
      </c>
      <c r="Y62" s="22">
        <f>X62/X64</f>
        <v>0.13338364370065281</v>
      </c>
    </row>
    <row r="63" spans="16:25" ht="15" thickBot="1" x14ac:dyDescent="0.4">
      <c r="W63" s="19" t="s">
        <v>64</v>
      </c>
      <c r="X63" s="21">
        <f>115000+25000</f>
        <v>140000</v>
      </c>
      <c r="Y63" s="22">
        <f>X63/X64</f>
        <v>0.1236358407691534</v>
      </c>
    </row>
    <row r="64" spans="16:25" ht="15" thickBot="1" x14ac:dyDescent="0.4">
      <c r="W64" s="19" t="s">
        <v>65</v>
      </c>
      <c r="X64" s="21">
        <f>R22</f>
        <v>1132357.73</v>
      </c>
      <c r="Y64" s="22">
        <f>Y61+Y62+Y63</f>
        <v>1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M18:S18"/>
    <mergeCell ref="M19:S19"/>
    <mergeCell ref="M71:O71"/>
    <mergeCell ref="W59:Y59"/>
    <mergeCell ref="C13:D13"/>
    <mergeCell ref="C14:D14"/>
    <mergeCell ref="C15:D15"/>
    <mergeCell ref="C16:D16"/>
    <mergeCell ref="C17:D17"/>
    <mergeCell ref="M17:S17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B2:E2"/>
    <mergeCell ref="I2:L2"/>
    <mergeCell ref="B3:E3"/>
    <mergeCell ref="I3:L3"/>
    <mergeCell ref="B4:E4"/>
    <mergeCell ref="I4:L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F2B4-8968-4B58-9AD8-8FFF27AA19C2}">
  <dimension ref="A2:Y76"/>
  <sheetViews>
    <sheetView topLeftCell="H1" workbookViewId="0">
      <selection activeCell="U33" sqref="U33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6328125" customWidth="1"/>
    <col min="25" max="25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76</v>
      </c>
      <c r="C4" s="33"/>
      <c r="D4" s="33"/>
      <c r="E4" s="33"/>
      <c r="I4" s="33" t="s">
        <v>75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43825</v>
      </c>
      <c r="I5" t="s">
        <v>13</v>
      </c>
      <c r="J5" s="35"/>
      <c r="K5" s="35"/>
      <c r="L5" s="1">
        <v>1062789.5</v>
      </c>
    </row>
    <row r="6" spans="2:13" x14ac:dyDescent="0.35">
      <c r="B6" t="s">
        <v>3</v>
      </c>
      <c r="C6" s="35">
        <v>29255</v>
      </c>
      <c r="D6" s="35"/>
      <c r="I6" t="s">
        <v>14</v>
      </c>
      <c r="J6" s="35"/>
      <c r="K6" s="35"/>
      <c r="L6" s="1">
        <v>10000</v>
      </c>
    </row>
    <row r="7" spans="2:13" x14ac:dyDescent="0.35">
      <c r="B7" t="s">
        <v>4</v>
      </c>
      <c r="C7" s="35"/>
      <c r="D7" s="35"/>
      <c r="E7" s="2">
        <f>C6</f>
        <v>29255</v>
      </c>
      <c r="I7" t="s">
        <v>11</v>
      </c>
      <c r="J7" s="35"/>
      <c r="K7" s="35"/>
      <c r="L7" s="1">
        <f>E18</f>
        <v>-49641.299166666664</v>
      </c>
    </row>
    <row r="8" spans="2:13" ht="17.5" x14ac:dyDescent="0.35">
      <c r="B8" t="s">
        <v>6</v>
      </c>
      <c r="C8" s="35"/>
      <c r="D8" s="35"/>
      <c r="E8">
        <f>E5-C6</f>
        <v>14570</v>
      </c>
      <c r="I8" s="4" t="s">
        <v>69</v>
      </c>
      <c r="J8" s="35"/>
      <c r="K8" s="35"/>
      <c r="L8" s="5">
        <f>SUM(L5:L7)</f>
        <v>1023148.2008333333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25000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8</v>
      </c>
      <c r="C12" s="34">
        <f>(20802.71/12)+(40756/12)+(29040/12)</f>
        <v>7549.8924999999999</v>
      </c>
      <c r="D12" s="34"/>
      <c r="J12" s="1"/>
    </row>
    <row r="13" spans="2:13" x14ac:dyDescent="0.35">
      <c r="B13" t="s">
        <v>42</v>
      </c>
      <c r="C13" s="34">
        <f>25692.72</f>
        <v>25692.720000000001</v>
      </c>
      <c r="D13" s="35"/>
    </row>
    <row r="14" spans="2:13" x14ac:dyDescent="0.35">
      <c r="B14" t="s">
        <v>48</v>
      </c>
      <c r="C14" s="34">
        <f>30000/12+11650/12+6750</f>
        <v>10220.833333333334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76796.77916666666</v>
      </c>
    </row>
    <row r="16" spans="2:13" ht="15.5" x14ac:dyDescent="0.35">
      <c r="B16" s="14" t="s">
        <v>11</v>
      </c>
      <c r="C16" s="35"/>
      <c r="D16" s="35"/>
      <c r="E16" s="13">
        <f>E8-E15</f>
        <v>-62226.77916666666</v>
      </c>
    </row>
    <row r="17" spans="1:19" ht="18.5" x14ac:dyDescent="0.45">
      <c r="B17" t="s">
        <v>46</v>
      </c>
      <c r="C17" s="35">
        <f>12000+585.48</f>
        <v>12585.48</v>
      </c>
      <c r="D17" s="35"/>
      <c r="E17">
        <f>C17</f>
        <v>12585.48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47</v>
      </c>
      <c r="E18" s="3">
        <f>E16+E17</f>
        <v>-49641.299166666664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H19">
        <f>25000+1350+2690</f>
        <v>29040</v>
      </c>
      <c r="M19" s="33" t="s">
        <v>73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725417.69083333341</v>
      </c>
    </row>
    <row r="22" spans="1:19" ht="15.5" x14ac:dyDescent="0.35">
      <c r="M22" s="8" t="s">
        <v>17</v>
      </c>
      <c r="Q22" t="s">
        <v>25</v>
      </c>
      <c r="R22" s="1">
        <f>L5+L6</f>
        <v>1072789.5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(N23/48)*15</f>
        <v>78873.584375000006</v>
      </c>
      <c r="P23" s="1">
        <f>N23-O23</f>
        <v>173521.885625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(N24/18)*15</f>
        <v>21666.666666666664</v>
      </c>
      <c r="P24" s="1">
        <f>N24-O24</f>
        <v>4333.3333333333358</v>
      </c>
      <c r="Q24" t="s">
        <v>44</v>
      </c>
      <c r="R24" s="1">
        <f>-386036.46-13500-27500-37359.67-88819.54+33613.94-29972.5+87532.4+56880.81+36807.67+9938.26+10872.6+15048.45-17021.9-80209.31+88728.66+43266.08</f>
        <v>-297730.50999999995</v>
      </c>
    </row>
    <row r="25" spans="1:19" x14ac:dyDescent="0.35">
      <c r="M25" t="s">
        <v>58</v>
      </c>
      <c r="N25">
        <f>11650</f>
        <v>11650</v>
      </c>
      <c r="O25" s="18">
        <f>(N25/12)*3</f>
        <v>2912.5</v>
      </c>
      <c r="P25" s="1">
        <f>N25-O25</f>
        <v>8737.5</v>
      </c>
      <c r="Q25" t="s">
        <v>45</v>
      </c>
      <c r="R25" s="1">
        <f>L7</f>
        <v>-49641.299166666664</v>
      </c>
    </row>
    <row r="26" spans="1:19" ht="15.5" x14ac:dyDescent="0.35">
      <c r="M26" s="4" t="s">
        <v>32</v>
      </c>
      <c r="N26">
        <v>40964.300000000003</v>
      </c>
      <c r="O26" s="18">
        <f>(N26/18)*15</f>
        <v>34136.916666666672</v>
      </c>
      <c r="P26" s="1">
        <f>N26-O26</f>
        <v>6827.3833333333314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(N28/48)*15</f>
        <v>9062.5</v>
      </c>
      <c r="P28" s="1">
        <f>N28-O28</f>
        <v>19937.5</v>
      </c>
    </row>
    <row r="29" spans="1:19" x14ac:dyDescent="0.35">
      <c r="M29" t="s">
        <v>36</v>
      </c>
      <c r="N29">
        <f>2500+750+1200+2000+15000+25000</f>
        <v>46450</v>
      </c>
      <c r="O29" s="18">
        <f>(N29/24)*15</f>
        <v>29031.25</v>
      </c>
      <c r="P29" s="1">
        <f t="shared" ref="P29:P31" si="0">N29-O29</f>
        <v>17418.75</v>
      </c>
    </row>
    <row r="30" spans="1:19" x14ac:dyDescent="0.35">
      <c r="M30" t="s">
        <v>37</v>
      </c>
      <c r="N30">
        <v>128000</v>
      </c>
      <c r="O30" s="18">
        <f>(N30/18)*15</f>
        <v>106666.66666666667</v>
      </c>
      <c r="P30" s="1">
        <f t="shared" si="0"/>
        <v>21333.333333333328</v>
      </c>
    </row>
    <row r="31" spans="1:19" x14ac:dyDescent="0.35">
      <c r="M31" t="s">
        <v>32</v>
      </c>
      <c r="N31">
        <f>(5000+6000+9695)</f>
        <v>20695</v>
      </c>
      <c r="O31" s="18">
        <f>(5000/12)*14+(6000/12)*8+(9695/12)*2</f>
        <v>11449.166666666668</v>
      </c>
      <c r="P31" s="1">
        <f t="shared" si="0"/>
        <v>9245.8333333333321</v>
      </c>
    </row>
    <row r="32" spans="1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8333.33*16</f>
        <v>133333.28</v>
      </c>
      <c r="P33">
        <f>N33-O33</f>
        <v>66666.720000000001</v>
      </c>
    </row>
    <row r="34" spans="13:23" ht="15.5" x14ac:dyDescent="0.35">
      <c r="M34" s="4" t="s">
        <v>41</v>
      </c>
      <c r="N34">
        <v>10000</v>
      </c>
      <c r="O34" s="17"/>
      <c r="P34">
        <v>10000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>
        <v>336615.65</v>
      </c>
      <c r="O37" s="17"/>
      <c r="P37" s="15">
        <f>N37</f>
        <v>336615.65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>
        <f>N41+N39+N40</f>
        <v>50779.8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>
        <v>1562.3</v>
      </c>
      <c r="O40" s="17"/>
    </row>
    <row r="41" spans="13:23" x14ac:dyDescent="0.35">
      <c r="M41" t="s">
        <v>22</v>
      </c>
      <c r="N41">
        <v>47848.5</v>
      </c>
      <c r="O41" s="17"/>
    </row>
    <row r="42" spans="13:23" ht="18.5" x14ac:dyDescent="0.45">
      <c r="M42" s="6" t="s">
        <v>51</v>
      </c>
      <c r="N42" s="11">
        <f>SUM(N23:N39)</f>
        <v>1103139.42</v>
      </c>
      <c r="O42" s="12">
        <f>SUM(O23:O33)</f>
        <v>427132.53104166675</v>
      </c>
      <c r="P42" s="10">
        <f>SUM(P23:P38)</f>
        <v>725417.68895833334</v>
      </c>
      <c r="Q42" s="6" t="s">
        <v>50</v>
      </c>
      <c r="R42" s="6"/>
      <c r="S42" s="10">
        <f>S21</f>
        <v>725417.69083333341</v>
      </c>
      <c r="W42" s="1">
        <f>P42-S42</f>
        <v>-1.875000074505806E-3</v>
      </c>
    </row>
    <row r="46" spans="13:23" x14ac:dyDescent="0.35">
      <c r="S46" s="1">
        <f>P42-S42</f>
        <v>-1.875000074505806E-3</v>
      </c>
    </row>
    <row r="49" spans="16:25" x14ac:dyDescent="0.35">
      <c r="P49" s="1">
        <f>SUM(O23:O31)</f>
        <v>293799.25104166672</v>
      </c>
    </row>
    <row r="50" spans="16:25" x14ac:dyDescent="0.35">
      <c r="P50">
        <f>P49/8</f>
        <v>36724.90638020834</v>
      </c>
    </row>
    <row r="58" spans="16:25" ht="15" thickBot="1" x14ac:dyDescent="0.4"/>
    <row r="59" spans="16:25" ht="15" thickBot="1" x14ac:dyDescent="0.4">
      <c r="W59" s="28" t="s">
        <v>72</v>
      </c>
      <c r="X59" s="29"/>
      <c r="Y59" s="30"/>
    </row>
    <row r="60" spans="16:25" ht="15" thickBot="1" x14ac:dyDescent="0.4">
      <c r="W60" s="19" t="s">
        <v>67</v>
      </c>
      <c r="X60" s="20" t="s">
        <v>60</v>
      </c>
      <c r="Y60" s="20" t="s">
        <v>61</v>
      </c>
    </row>
    <row r="61" spans="16:25" ht="15" thickBot="1" x14ac:dyDescent="0.4">
      <c r="W61" s="19" t="s">
        <v>62</v>
      </c>
      <c r="X61" s="21">
        <f>X64-151038-140000</f>
        <v>781751.5</v>
      </c>
      <c r="Y61" s="22">
        <f>X61/X64</f>
        <v>0.72870912700021762</v>
      </c>
    </row>
    <row r="62" spans="16:25" ht="15" thickBot="1" x14ac:dyDescent="0.4">
      <c r="W62" s="19" t="s">
        <v>63</v>
      </c>
      <c r="X62" s="21">
        <v>151038</v>
      </c>
      <c r="Y62" s="22">
        <f>X62/X64</f>
        <v>0.14078996858190726</v>
      </c>
    </row>
    <row r="63" spans="16:25" ht="15" thickBot="1" x14ac:dyDescent="0.4">
      <c r="W63" s="19" t="s">
        <v>64</v>
      </c>
      <c r="X63" s="21">
        <f>115000+25000</f>
        <v>140000</v>
      </c>
      <c r="Y63" s="22">
        <f>X63/X64</f>
        <v>0.13050090441787507</v>
      </c>
    </row>
    <row r="64" spans="16:25" ht="15" thickBot="1" x14ac:dyDescent="0.4">
      <c r="W64" s="19" t="s">
        <v>65</v>
      </c>
      <c r="X64" s="21">
        <f>R22</f>
        <v>1072789.5</v>
      </c>
      <c r="Y64" s="22">
        <f>Y61+Y62+Y63</f>
        <v>1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M18:S18"/>
    <mergeCell ref="M19:S19"/>
    <mergeCell ref="W59:Y59"/>
    <mergeCell ref="M71:O71"/>
    <mergeCell ref="C13:D13"/>
    <mergeCell ref="C14:D14"/>
    <mergeCell ref="C15:D15"/>
    <mergeCell ref="C16:D16"/>
    <mergeCell ref="C17:D17"/>
    <mergeCell ref="M17:S17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B2:E2"/>
    <mergeCell ref="I2:L2"/>
    <mergeCell ref="B3:E3"/>
    <mergeCell ref="I3:L3"/>
    <mergeCell ref="B4:E4"/>
    <mergeCell ref="I4:L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25DE-3F2A-4019-B394-7B1BBBD4A8A6}">
  <dimension ref="A2:Y76"/>
  <sheetViews>
    <sheetView topLeftCell="P38" workbookViewId="0">
      <selection activeCell="T34" sqref="T34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6328125" customWidth="1"/>
    <col min="25" max="25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77</v>
      </c>
      <c r="C4" s="33"/>
      <c r="D4" s="33"/>
      <c r="E4" s="33"/>
      <c r="I4" s="33" t="s">
        <v>78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71850</v>
      </c>
      <c r="I5" t="s">
        <v>13</v>
      </c>
      <c r="J5" s="35"/>
      <c r="K5" s="35"/>
      <c r="L5" s="1">
        <f>'Mars 2025 '!L8</f>
        <v>1023148.2008333333</v>
      </c>
    </row>
    <row r="6" spans="2:13" x14ac:dyDescent="0.35">
      <c r="B6" t="s">
        <v>3</v>
      </c>
      <c r="C6" s="35">
        <v>48270.69</v>
      </c>
      <c r="D6" s="35"/>
      <c r="I6" t="s">
        <v>14</v>
      </c>
      <c r="J6" s="35"/>
      <c r="K6" s="35"/>
      <c r="L6" s="1">
        <v>10000</v>
      </c>
    </row>
    <row r="7" spans="2:13" x14ac:dyDescent="0.35">
      <c r="B7" t="s">
        <v>4</v>
      </c>
      <c r="C7" s="35"/>
      <c r="D7" s="35"/>
      <c r="E7" s="2">
        <f>C6</f>
        <v>48270.69</v>
      </c>
      <c r="I7" t="s">
        <v>11</v>
      </c>
      <c r="J7" s="35"/>
      <c r="K7" s="35"/>
      <c r="L7" s="1">
        <f>E18</f>
        <v>-60130.809166666659</v>
      </c>
    </row>
    <row r="8" spans="2:13" ht="17.5" x14ac:dyDescent="0.35">
      <c r="B8" t="s">
        <v>6</v>
      </c>
      <c r="C8" s="35"/>
      <c r="D8" s="35"/>
      <c r="E8">
        <f>E5-C6</f>
        <v>23579.309999999998</v>
      </c>
      <c r="I8" s="4" t="s">
        <v>79</v>
      </c>
      <c r="J8" s="35"/>
      <c r="K8" s="35"/>
      <c r="L8" s="5">
        <f>SUM(L5:L7)</f>
        <v>973017.3916666666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25000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8</v>
      </c>
      <c r="C12" s="34">
        <f>(20802.71/12)+(40756/12)+(29040/12)</f>
        <v>7549.8924999999999</v>
      </c>
      <c r="D12" s="34"/>
      <c r="J12" s="1"/>
    </row>
    <row r="13" spans="2:13" x14ac:dyDescent="0.35">
      <c r="B13" t="s">
        <v>42</v>
      </c>
      <c r="C13" s="34">
        <f>25692.72</f>
        <v>25692.720000000001</v>
      </c>
      <c r="D13" s="35"/>
    </row>
    <row r="14" spans="2:13" x14ac:dyDescent="0.35">
      <c r="B14" t="s">
        <v>48</v>
      </c>
      <c r="C14" s="34">
        <f>30000/12+11650/12+26320</f>
        <v>29790.833333333332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96366.77916666666</v>
      </c>
    </row>
    <row r="16" spans="2:13" ht="15.5" x14ac:dyDescent="0.35">
      <c r="B16" s="14" t="s">
        <v>11</v>
      </c>
      <c r="C16" s="35"/>
      <c r="D16" s="35"/>
      <c r="E16" s="13">
        <f>E8-E15</f>
        <v>-72787.469166666662</v>
      </c>
    </row>
    <row r="17" spans="1:19" ht="18.5" x14ac:dyDescent="0.45">
      <c r="B17" t="s">
        <v>46</v>
      </c>
      <c r="C17" s="35">
        <f>12000+656.66</f>
        <v>12656.66</v>
      </c>
      <c r="D17" s="35"/>
      <c r="E17">
        <f>C17</f>
        <v>12656.66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47</v>
      </c>
      <c r="E18" s="3">
        <f>E16+E17</f>
        <v>-60130.809166666659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H19">
        <f>25000+1350+2690</f>
        <v>29040</v>
      </c>
      <c r="M19" s="33" t="s">
        <v>80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687562.70166666666</v>
      </c>
    </row>
    <row r="22" spans="1:19" ht="15.5" x14ac:dyDescent="0.35">
      <c r="M22" s="8" t="s">
        <v>17</v>
      </c>
      <c r="Q22" t="s">
        <v>25</v>
      </c>
      <c r="R22" s="1">
        <f>L5+L6</f>
        <v>1033148.2008333333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(N23/48)*16</f>
        <v>84131.823333333334</v>
      </c>
      <c r="P23" s="1">
        <f>N23-O23</f>
        <v>168263.64666666667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(N24/18)*16</f>
        <v>23111.111111111109</v>
      </c>
      <c r="P24" s="1">
        <f>N24-O24</f>
        <v>2888.8888888888905</v>
      </c>
      <c r="Q24" t="s">
        <v>44</v>
      </c>
      <c r="R24" s="1">
        <f>-386036.46-13500-27500-37359.67-88819.54+33613.94-29972.5+87532.4+56880.81+36807.67+9938.26+10872.6+15048.45-17021.9-80209.31+88728.66+43266.08+12275.82</f>
        <v>-285454.68999999994</v>
      </c>
    </row>
    <row r="25" spans="1:19" x14ac:dyDescent="0.35">
      <c r="M25" t="s">
        <v>58</v>
      </c>
      <c r="N25">
        <f>11650</f>
        <v>11650</v>
      </c>
      <c r="O25" s="18">
        <f>(N25/12)*4</f>
        <v>3883.3333333333335</v>
      </c>
      <c r="P25" s="1">
        <f>N25-O25</f>
        <v>7766.6666666666661</v>
      </c>
      <c r="Q25" t="s">
        <v>45</v>
      </c>
      <c r="R25" s="1">
        <f>L7</f>
        <v>-60130.809166666659</v>
      </c>
    </row>
    <row r="26" spans="1:19" ht="15.5" x14ac:dyDescent="0.35">
      <c r="M26" s="4" t="s">
        <v>32</v>
      </c>
      <c r="N26">
        <v>40964.300000000003</v>
      </c>
      <c r="O26" s="18">
        <f>(N26/18)*16</f>
        <v>36412.711111111115</v>
      </c>
      <c r="P26" s="1">
        <f>N26-O26</f>
        <v>4551.5888888888876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(N28/48)*16</f>
        <v>9666.6666666666661</v>
      </c>
      <c r="P28" s="1">
        <f>N28-O28</f>
        <v>19333.333333333336</v>
      </c>
    </row>
    <row r="29" spans="1:19" x14ac:dyDescent="0.35">
      <c r="M29" t="s">
        <v>36</v>
      </c>
      <c r="N29">
        <f>2500+750+1200+2000+15000+25000</f>
        <v>46450</v>
      </c>
      <c r="O29" s="18">
        <f>(N29/24)*16</f>
        <v>30966.666666666668</v>
      </c>
      <c r="P29" s="1">
        <f t="shared" ref="P29:P31" si="0">N29-O29</f>
        <v>15483.333333333332</v>
      </c>
    </row>
    <row r="30" spans="1:19" x14ac:dyDescent="0.35">
      <c r="M30" t="s">
        <v>37</v>
      </c>
      <c r="N30">
        <v>128000</v>
      </c>
      <c r="O30" s="18">
        <f>(N30/18)*16</f>
        <v>113777.77777777778</v>
      </c>
      <c r="P30" s="1">
        <f t="shared" si="0"/>
        <v>14222.222222222219</v>
      </c>
    </row>
    <row r="31" spans="1:19" x14ac:dyDescent="0.35">
      <c r="M31" t="s">
        <v>32</v>
      </c>
      <c r="N31">
        <f>(5000+6000+9695)</f>
        <v>20695</v>
      </c>
      <c r="O31" s="18">
        <f>(6000/12)*8+(9695/12)*2</f>
        <v>5615.833333333333</v>
      </c>
      <c r="P31" s="1">
        <f t="shared" si="0"/>
        <v>15079.166666666668</v>
      </c>
    </row>
    <row r="32" spans="1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8333.33*17</f>
        <v>141666.60999999999</v>
      </c>
      <c r="P33">
        <f>N33-O33</f>
        <v>58333.390000000014</v>
      </c>
    </row>
    <row r="34" spans="13:23" ht="15.5" x14ac:dyDescent="0.35">
      <c r="M34" s="4" t="s">
        <v>41</v>
      </c>
      <c r="N34">
        <v>10000</v>
      </c>
      <c r="O34" s="17"/>
      <c r="P34">
        <v>10000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>
        <v>311748.5</v>
      </c>
      <c r="O37" s="17"/>
      <c r="P37" s="15">
        <f>N37</f>
        <v>311748.5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>
        <f>N41+N39+N40</f>
        <v>59891.960000000006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>
        <v>10252.27</v>
      </c>
      <c r="O40" s="17"/>
    </row>
    <row r="41" spans="13:23" x14ac:dyDescent="0.35">
      <c r="M41" t="s">
        <v>22</v>
      </c>
      <c r="N41">
        <v>48270.69</v>
      </c>
      <c r="O41" s="17"/>
    </row>
    <row r="42" spans="13:23" ht="18.5" x14ac:dyDescent="0.45">
      <c r="M42" s="6" t="s">
        <v>51</v>
      </c>
      <c r="N42" s="11">
        <f>SUM(N23:N39)</f>
        <v>1078272.27</v>
      </c>
      <c r="O42" s="12">
        <f>SUM(O23:O33)</f>
        <v>449232.53333333327</v>
      </c>
      <c r="P42" s="10">
        <f>SUM(P23:P38)</f>
        <v>687562.69666666666</v>
      </c>
      <c r="Q42" s="6" t="s">
        <v>50</v>
      </c>
      <c r="R42" s="6"/>
      <c r="S42" s="10">
        <f>S21</f>
        <v>687562.70166666666</v>
      </c>
      <c r="W42" s="1">
        <f>P42-S42</f>
        <v>-5.0000000046566129E-3</v>
      </c>
    </row>
    <row r="46" spans="13:23" x14ac:dyDescent="0.35">
      <c r="S46" s="1">
        <f>P42-S42</f>
        <v>-5.0000000046566129E-3</v>
      </c>
    </row>
    <row r="49" spans="16:25" x14ac:dyDescent="0.35">
      <c r="P49" s="1">
        <f>SUM(O23:O31)</f>
        <v>307565.92333333328</v>
      </c>
    </row>
    <row r="50" spans="16:25" x14ac:dyDescent="0.35">
      <c r="P50">
        <f>P49/8</f>
        <v>38445.74041666666</v>
      </c>
    </row>
    <row r="58" spans="16:25" ht="15" thickBot="1" x14ac:dyDescent="0.4"/>
    <row r="59" spans="16:25" ht="15" thickBot="1" x14ac:dyDescent="0.4">
      <c r="W59" s="28" t="s">
        <v>72</v>
      </c>
      <c r="X59" s="29"/>
      <c r="Y59" s="30"/>
    </row>
    <row r="60" spans="16:25" ht="15" thickBot="1" x14ac:dyDescent="0.4">
      <c r="W60" s="19" t="s">
        <v>67</v>
      </c>
      <c r="X60" s="20" t="s">
        <v>60</v>
      </c>
      <c r="Y60" s="20" t="s">
        <v>61</v>
      </c>
    </row>
    <row r="61" spans="16:25" ht="15" thickBot="1" x14ac:dyDescent="0.4">
      <c r="W61" s="19" t="s">
        <v>62</v>
      </c>
      <c r="X61" s="21">
        <f>X64-151038-140000</f>
        <v>742110.20083333331</v>
      </c>
      <c r="Y61" s="22">
        <f>X61/X64</f>
        <v>0.71829985304601041</v>
      </c>
    </row>
    <row r="62" spans="16:25" ht="15" thickBot="1" x14ac:dyDescent="0.4">
      <c r="W62" s="19" t="s">
        <v>63</v>
      </c>
      <c r="X62" s="21">
        <v>151038</v>
      </c>
      <c r="Y62" s="22">
        <f>X62/X64</f>
        <v>0.14619199828076296</v>
      </c>
    </row>
    <row r="63" spans="16:25" ht="15" thickBot="1" x14ac:dyDescent="0.4">
      <c r="W63" s="19" t="s">
        <v>64</v>
      </c>
      <c r="X63" s="21">
        <f>115000+25000</f>
        <v>140000</v>
      </c>
      <c r="Y63" s="22">
        <f>X63/X64</f>
        <v>0.13550814867322669</v>
      </c>
    </row>
    <row r="64" spans="16:25" ht="15" thickBot="1" x14ac:dyDescent="0.4">
      <c r="W64" s="19" t="s">
        <v>65</v>
      </c>
      <c r="X64" s="21">
        <f>R22</f>
        <v>1033148.2008333333</v>
      </c>
      <c r="Y64" s="22">
        <f>Y61+Y62+Y63</f>
        <v>1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B2:E2"/>
    <mergeCell ref="I2:L2"/>
    <mergeCell ref="B3:E3"/>
    <mergeCell ref="I3:L3"/>
    <mergeCell ref="B4:E4"/>
    <mergeCell ref="I4:L4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M18:S18"/>
    <mergeCell ref="M19:S19"/>
    <mergeCell ref="W59:Y59"/>
    <mergeCell ref="M71:O71"/>
    <mergeCell ref="C13:D13"/>
    <mergeCell ref="C14:D14"/>
    <mergeCell ref="C15:D15"/>
    <mergeCell ref="C16:D16"/>
    <mergeCell ref="C17:D17"/>
    <mergeCell ref="M17:S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E046-E922-41D0-AA98-1329BC9DF11E}">
  <dimension ref="A2:Y76"/>
  <sheetViews>
    <sheetView topLeftCell="A2" workbookViewId="0">
      <selection activeCell="R25" sqref="R25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6328125" customWidth="1"/>
    <col min="25" max="25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81</v>
      </c>
      <c r="C4" s="33"/>
      <c r="D4" s="33"/>
      <c r="E4" s="33"/>
      <c r="I4" s="33" t="s">
        <v>82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65625</v>
      </c>
      <c r="I5" t="s">
        <v>13</v>
      </c>
      <c r="J5" s="35"/>
      <c r="K5" s="35"/>
      <c r="L5" s="1">
        <f>'Avril 2025'!L8</f>
        <v>973017.3916666666</v>
      </c>
    </row>
    <row r="6" spans="2:13" x14ac:dyDescent="0.35">
      <c r="B6" t="s">
        <v>3</v>
      </c>
      <c r="C6" s="35">
        <v>47661.54</v>
      </c>
      <c r="D6" s="35"/>
      <c r="I6" t="s">
        <v>14</v>
      </c>
      <c r="J6" s="35"/>
      <c r="K6" s="35"/>
      <c r="L6" s="1">
        <v>0</v>
      </c>
    </row>
    <row r="7" spans="2:13" x14ac:dyDescent="0.35">
      <c r="B7" t="s">
        <v>4</v>
      </c>
      <c r="C7" s="35"/>
      <c r="D7" s="35"/>
      <c r="E7" s="2">
        <f>C6</f>
        <v>47661.54</v>
      </c>
      <c r="I7" t="s">
        <v>11</v>
      </c>
      <c r="J7" s="35"/>
      <c r="K7" s="35"/>
      <c r="L7" s="1">
        <f>E18</f>
        <v>-31681.209166666675</v>
      </c>
    </row>
    <row r="8" spans="2:13" ht="17.5" x14ac:dyDescent="0.35">
      <c r="B8" t="s">
        <v>6</v>
      </c>
      <c r="C8" s="35"/>
      <c r="D8" s="35"/>
      <c r="E8">
        <f>E5-C6</f>
        <v>17963.46</v>
      </c>
      <c r="I8" s="4" t="s">
        <v>79</v>
      </c>
      <c r="J8" s="35"/>
      <c r="K8" s="35"/>
      <c r="L8" s="5">
        <f>SUM(L5:L7)</f>
        <v>941336.18249999988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15000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8</v>
      </c>
      <c r="C12" s="34">
        <f>(20802.71/12)+(40756/12)+(29040/12)</f>
        <v>7549.8924999999999</v>
      </c>
      <c r="D12" s="34"/>
      <c r="J12" s="1"/>
    </row>
    <row r="13" spans="2:13" x14ac:dyDescent="0.35">
      <c r="B13" t="s">
        <v>42</v>
      </c>
      <c r="C13" s="34">
        <f>25692.72</f>
        <v>25692.720000000001</v>
      </c>
      <c r="D13" s="35"/>
    </row>
    <row r="14" spans="2:13" x14ac:dyDescent="0.35">
      <c r="B14" t="s">
        <v>48</v>
      </c>
      <c r="C14" s="34">
        <f>30000/12+11650/12+2350</f>
        <v>5820.8333333333339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62396.779166666674</v>
      </c>
    </row>
    <row r="16" spans="2:13" ht="15.5" x14ac:dyDescent="0.35">
      <c r="B16" s="14" t="s">
        <v>11</v>
      </c>
      <c r="C16" s="35"/>
      <c r="D16" s="35"/>
      <c r="E16" s="13">
        <f>E8-E15</f>
        <v>-44433.319166666675</v>
      </c>
    </row>
    <row r="17" spans="1:19" ht="18.5" x14ac:dyDescent="0.45">
      <c r="B17" t="s">
        <v>46</v>
      </c>
      <c r="C17" s="35">
        <f>12000+752.11</f>
        <v>12752.11</v>
      </c>
      <c r="D17" s="35"/>
      <c r="E17">
        <f>C17</f>
        <v>12752.11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47</v>
      </c>
      <c r="E18" s="3">
        <f>E16+E17</f>
        <v>-31681.209166666675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H19">
        <f>25000+1350+2690</f>
        <v>29040</v>
      </c>
      <c r="M19" s="33" t="s">
        <v>83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707878.64249999984</v>
      </c>
    </row>
    <row r="22" spans="1:19" ht="15.5" x14ac:dyDescent="0.35">
      <c r="M22" s="8" t="s">
        <v>17</v>
      </c>
      <c r="Q22" t="s">
        <v>25</v>
      </c>
      <c r="R22" s="1">
        <f>L5+L6</f>
        <v>973017.3916666666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(N23/48)*17</f>
        <v>89390.062291666662</v>
      </c>
      <c r="P23" s="1">
        <f>N23-O23</f>
        <v>163005.40770833334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(N24/18)*17</f>
        <v>24555.555555555555</v>
      </c>
      <c r="P24" s="1">
        <f>N24-O24</f>
        <v>1444.4444444444453</v>
      </c>
      <c r="Q24" t="s">
        <v>44</v>
      </c>
      <c r="R24" s="1">
        <f>-386036.46-13500-27500-37359.67-88819.54+33613.94-29972.5+87532.4+56880.81+36807.67+9938.26+10872.6+15048.45-17021.9-80209.31+88728.66+107539.05</f>
        <v>-233457.53999999998</v>
      </c>
    </row>
    <row r="25" spans="1:19" x14ac:dyDescent="0.35">
      <c r="M25" t="s">
        <v>58</v>
      </c>
      <c r="N25">
        <f>11650</f>
        <v>11650</v>
      </c>
      <c r="O25" s="18">
        <f>(N25/12)*5</f>
        <v>4854.166666666667</v>
      </c>
      <c r="P25" s="1">
        <f>N25-O25</f>
        <v>6795.833333333333</v>
      </c>
      <c r="Q25" t="s">
        <v>45</v>
      </c>
      <c r="R25" s="1">
        <f>L7</f>
        <v>-31681.209166666675</v>
      </c>
    </row>
    <row r="26" spans="1:19" ht="15.5" x14ac:dyDescent="0.35">
      <c r="M26" s="4" t="s">
        <v>32</v>
      </c>
      <c r="N26">
        <v>40964.300000000003</v>
      </c>
      <c r="O26" s="18">
        <f>(N26/18)*17</f>
        <v>38688.505555555559</v>
      </c>
      <c r="P26" s="1">
        <f>N26-O26</f>
        <v>2275.7944444444438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(N28/48)*17</f>
        <v>10270.833333333332</v>
      </c>
      <c r="P28" s="1">
        <f>N28-O28</f>
        <v>18729.166666666668</v>
      </c>
    </row>
    <row r="29" spans="1:19" x14ac:dyDescent="0.35">
      <c r="M29" t="s">
        <v>36</v>
      </c>
      <c r="N29">
        <f>2500+750+1200+2000+15000+25000</f>
        <v>46450</v>
      </c>
      <c r="O29" s="18">
        <f>(N29/24)*17</f>
        <v>32902.083333333336</v>
      </c>
      <c r="P29" s="1">
        <f t="shared" ref="P29:P31" si="0">N29-O29</f>
        <v>13547.916666666664</v>
      </c>
    </row>
    <row r="30" spans="1:19" x14ac:dyDescent="0.35">
      <c r="M30" t="s">
        <v>37</v>
      </c>
      <c r="N30">
        <v>128000</v>
      </c>
      <c r="O30" s="18">
        <f>(N30/18)*17</f>
        <v>120888.88888888889</v>
      </c>
      <c r="P30" s="1">
        <f t="shared" si="0"/>
        <v>7111.1111111111095</v>
      </c>
    </row>
    <row r="31" spans="1:19" x14ac:dyDescent="0.35">
      <c r="M31" t="s">
        <v>32</v>
      </c>
      <c r="N31">
        <f>(5000+6000+9695)</f>
        <v>20695</v>
      </c>
      <c r="O31" s="18">
        <f>(6000/12)*9+(9695/12)*3</f>
        <v>6923.75</v>
      </c>
      <c r="P31" s="1">
        <f t="shared" si="0"/>
        <v>13771.25</v>
      </c>
    </row>
    <row r="32" spans="1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8333.33*18</f>
        <v>149999.94</v>
      </c>
      <c r="P33">
        <f>N33-O33</f>
        <v>50000.06</v>
      </c>
    </row>
    <row r="34" spans="13:23" ht="15.5" x14ac:dyDescent="0.35">
      <c r="M34" s="4" t="s">
        <v>41</v>
      </c>
      <c r="N34">
        <v>10000</v>
      </c>
      <c r="O34" s="17"/>
      <c r="P34">
        <v>10000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>
        <v>335283.5</v>
      </c>
      <c r="O37" s="17"/>
      <c r="P37" s="15">
        <f>N37</f>
        <v>335283.5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>
        <f>N41+N39+N40</f>
        <v>85914.16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>
        <v>1175</v>
      </c>
      <c r="O40" s="17"/>
    </row>
    <row r="41" spans="13:23" x14ac:dyDescent="0.35">
      <c r="M41" t="s">
        <v>22</v>
      </c>
      <c r="N41">
        <v>83370.16</v>
      </c>
      <c r="O41" s="17"/>
    </row>
    <row r="42" spans="13:23" ht="18.5" x14ac:dyDescent="0.45">
      <c r="M42" s="6" t="s">
        <v>51</v>
      </c>
      <c r="N42" s="11">
        <f>SUM(N23:N39)</f>
        <v>1101807.27</v>
      </c>
      <c r="O42" s="12">
        <f>SUM(O23:O33)</f>
        <v>478473.78562500002</v>
      </c>
      <c r="P42" s="10">
        <f>SUM(P23:P38)</f>
        <v>707878.64437500003</v>
      </c>
      <c r="Q42" s="6" t="s">
        <v>50</v>
      </c>
      <c r="R42" s="6"/>
      <c r="S42" s="10">
        <f>S21</f>
        <v>707878.64249999984</v>
      </c>
      <c r="W42" s="1">
        <f>P42-S42</f>
        <v>1.8750001909211278E-3</v>
      </c>
    </row>
    <row r="46" spans="13:23" x14ac:dyDescent="0.35">
      <c r="S46" s="1">
        <f>P42-S42</f>
        <v>1.8750001909211278E-3</v>
      </c>
    </row>
    <row r="49" spans="16:25" x14ac:dyDescent="0.35">
      <c r="P49" s="1">
        <f>SUM(O23:O31)</f>
        <v>328473.84562500002</v>
      </c>
    </row>
    <row r="50" spans="16:25" x14ac:dyDescent="0.35">
      <c r="P50">
        <f>P49/8</f>
        <v>41059.230703125002</v>
      </c>
    </row>
    <row r="58" spans="16:25" ht="15" thickBot="1" x14ac:dyDescent="0.4"/>
    <row r="59" spans="16:25" ht="15" thickBot="1" x14ac:dyDescent="0.4">
      <c r="W59" s="28" t="s">
        <v>72</v>
      </c>
      <c r="X59" s="29"/>
      <c r="Y59" s="30"/>
    </row>
    <row r="60" spans="16:25" ht="15" thickBot="1" x14ac:dyDescent="0.4">
      <c r="W60" s="19" t="s">
        <v>67</v>
      </c>
      <c r="X60" s="20" t="s">
        <v>60</v>
      </c>
      <c r="Y60" s="20" t="s">
        <v>61</v>
      </c>
    </row>
    <row r="61" spans="16:25" ht="15" thickBot="1" x14ac:dyDescent="0.4">
      <c r="W61" s="19" t="s">
        <v>62</v>
      </c>
      <c r="X61" s="21">
        <f>X64-151038-140000</f>
        <v>681979.3916666666</v>
      </c>
      <c r="Y61" s="22">
        <f>X61/X64</f>
        <v>0.70089126618642916</v>
      </c>
    </row>
    <row r="62" spans="16:25" ht="15" thickBot="1" x14ac:dyDescent="0.4">
      <c r="W62" s="19" t="s">
        <v>63</v>
      </c>
      <c r="X62" s="21">
        <v>151038</v>
      </c>
      <c r="Y62" s="22">
        <f>X62/X64</f>
        <v>0.15522641351897043</v>
      </c>
    </row>
    <row r="63" spans="16:25" ht="15" thickBot="1" x14ac:dyDescent="0.4">
      <c r="W63" s="19" t="s">
        <v>64</v>
      </c>
      <c r="X63" s="21">
        <f>115000+25000</f>
        <v>140000</v>
      </c>
      <c r="Y63" s="22">
        <f>X63/X64</f>
        <v>0.14388232029460044</v>
      </c>
    </row>
    <row r="64" spans="16:25" ht="15" thickBot="1" x14ac:dyDescent="0.4">
      <c r="W64" s="19" t="s">
        <v>65</v>
      </c>
      <c r="X64" s="21">
        <f>R22</f>
        <v>973017.3916666666</v>
      </c>
      <c r="Y64" s="22">
        <f>Y61+Y62+Y63</f>
        <v>1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M18:S18"/>
    <mergeCell ref="M19:S19"/>
    <mergeCell ref="W59:Y59"/>
    <mergeCell ref="M71:O71"/>
    <mergeCell ref="C13:D13"/>
    <mergeCell ref="C14:D14"/>
    <mergeCell ref="C15:D15"/>
    <mergeCell ref="C16:D16"/>
    <mergeCell ref="C17:D17"/>
    <mergeCell ref="M17:S17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B2:E2"/>
    <mergeCell ref="I2:L2"/>
    <mergeCell ref="B3:E3"/>
    <mergeCell ref="I3:L3"/>
    <mergeCell ref="B4:E4"/>
    <mergeCell ref="I4:L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8CB5-A707-4BD3-8ED5-053F6EAAA222}">
  <dimension ref="A2:Y76"/>
  <sheetViews>
    <sheetView workbookViewId="0">
      <selection activeCell="R25" sqref="R25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6" max="6" width="10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6328125" customWidth="1"/>
    <col min="25" max="25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84</v>
      </c>
      <c r="C4" s="33"/>
      <c r="D4" s="33"/>
      <c r="E4" s="33"/>
      <c r="I4" s="33" t="s">
        <v>85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74150</v>
      </c>
      <c r="I5" t="s">
        <v>13</v>
      </c>
      <c r="J5" s="35"/>
      <c r="K5" s="35"/>
      <c r="L5" s="1">
        <f>'Mai 2025'!L8</f>
        <v>941336.18249999988</v>
      </c>
    </row>
    <row r="6" spans="2:13" x14ac:dyDescent="0.35">
      <c r="B6" t="s">
        <v>3</v>
      </c>
      <c r="C6" s="35">
        <v>54952.45</v>
      </c>
      <c r="D6" s="35"/>
      <c r="I6" t="s">
        <v>14</v>
      </c>
      <c r="J6" s="35"/>
      <c r="K6" s="35"/>
      <c r="L6" s="1">
        <v>0</v>
      </c>
    </row>
    <row r="7" spans="2:13" x14ac:dyDescent="0.35">
      <c r="B7" t="s">
        <v>4</v>
      </c>
      <c r="C7" s="35"/>
      <c r="D7" s="35"/>
      <c r="E7" s="2">
        <f>C6</f>
        <v>54952.45</v>
      </c>
      <c r="I7" t="s">
        <v>11</v>
      </c>
      <c r="J7" s="35"/>
      <c r="K7" s="35"/>
      <c r="L7" s="1">
        <f>E18</f>
        <v>-28993.669166666674</v>
      </c>
    </row>
    <row r="8" spans="2:13" ht="17.5" x14ac:dyDescent="0.35">
      <c r="B8" t="s">
        <v>6</v>
      </c>
      <c r="C8" s="35"/>
      <c r="D8" s="35"/>
      <c r="E8">
        <f>E5-C6</f>
        <v>19197.550000000003</v>
      </c>
      <c r="I8" s="4" t="s">
        <v>87</v>
      </c>
      <c r="J8" s="35"/>
      <c r="K8" s="35"/>
      <c r="L8" s="5">
        <f>SUM(L5:L7)</f>
        <v>912342.51333333319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15000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8</v>
      </c>
      <c r="C12" s="34">
        <f>(20802.71/12)+(40756/12)+(29040/12)</f>
        <v>7549.8924999999999</v>
      </c>
      <c r="D12" s="34"/>
      <c r="J12" s="1"/>
    </row>
    <row r="13" spans="2:13" x14ac:dyDescent="0.35">
      <c r="B13" t="s">
        <v>42</v>
      </c>
      <c r="C13" s="34">
        <f>25692.72</f>
        <v>25692.720000000001</v>
      </c>
      <c r="D13" s="35"/>
    </row>
    <row r="14" spans="2:13" x14ac:dyDescent="0.35">
      <c r="B14" t="s">
        <v>48</v>
      </c>
      <c r="C14" s="34">
        <f>30000/12+11650/12+950</f>
        <v>4420.8333333333339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60996.779166666674</v>
      </c>
    </row>
    <row r="16" spans="2:13" ht="15.5" x14ac:dyDescent="0.35">
      <c r="B16" s="14" t="s">
        <v>11</v>
      </c>
      <c r="C16" s="35"/>
      <c r="D16" s="35"/>
      <c r="E16" s="13">
        <f>E8-E15</f>
        <v>-41799.229166666672</v>
      </c>
    </row>
    <row r="17" spans="1:19" ht="18.5" x14ac:dyDescent="0.45">
      <c r="B17" t="s">
        <v>46</v>
      </c>
      <c r="C17" s="35">
        <f>12000+805.56</f>
        <v>12805.56</v>
      </c>
      <c r="D17" s="35"/>
      <c r="E17">
        <f>C17</f>
        <v>12805.56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47</v>
      </c>
      <c r="E18" s="3">
        <f>E16+E17</f>
        <v>-28993.669166666674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H19">
        <f>25000+1350+2690</f>
        <v>29040</v>
      </c>
      <c r="M19" s="33" t="s">
        <v>86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710532.86333333328</v>
      </c>
    </row>
    <row r="22" spans="1:19" ht="15.5" x14ac:dyDescent="0.35">
      <c r="M22" s="8" t="s">
        <v>17</v>
      </c>
      <c r="Q22" t="s">
        <v>25</v>
      </c>
      <c r="R22" s="1">
        <f>L5+L6</f>
        <v>941336.18249999988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(N23/48)*18</f>
        <v>94648.301250000004</v>
      </c>
      <c r="P23" s="1">
        <f>N23-O23</f>
        <v>157747.16875000001</v>
      </c>
      <c r="Q23" t="s">
        <v>43</v>
      </c>
      <c r="R23" s="1">
        <v>0</v>
      </c>
    </row>
    <row r="24" spans="1:19" ht="15.5" x14ac:dyDescent="0.35">
      <c r="F24">
        <f>154375.72-805.56</f>
        <v>153570.16</v>
      </c>
      <c r="M24" s="4" t="s">
        <v>33</v>
      </c>
      <c r="N24">
        <f>15000+11000</f>
        <v>26000</v>
      </c>
      <c r="O24" s="18">
        <f>(N24/18)*18</f>
        <v>26000</v>
      </c>
      <c r="P24" s="1">
        <f>N24-O24</f>
        <v>0</v>
      </c>
      <c r="Q24" t="s">
        <v>44</v>
      </c>
      <c r="R24" s="1">
        <f>-386036.46-13500-27500-37359.67-88819.54+33613.94-29972.5+87532.4+56880.81+36807.67+9938.26+10872.6+15048.45-17021.9-80209.31+88728.66+107539.05+32453.45-805.56</f>
        <v>-201809.64999999997</v>
      </c>
    </row>
    <row r="25" spans="1:19" x14ac:dyDescent="0.35">
      <c r="M25" t="s">
        <v>58</v>
      </c>
      <c r="N25">
        <f>11650</f>
        <v>11650</v>
      </c>
      <c r="O25" s="18">
        <f>(N25/12)*6</f>
        <v>5825</v>
      </c>
      <c r="P25" s="1">
        <f>N25-O25</f>
        <v>5825</v>
      </c>
      <c r="Q25" t="s">
        <v>45</v>
      </c>
      <c r="R25" s="1">
        <f>L7</f>
        <v>-28993.669166666674</v>
      </c>
    </row>
    <row r="26" spans="1:19" ht="15.5" x14ac:dyDescent="0.35">
      <c r="M26" s="4" t="s">
        <v>32</v>
      </c>
      <c r="N26">
        <v>40964.300000000003</v>
      </c>
      <c r="O26" s="18">
        <f>(N26/18)*18</f>
        <v>40964.300000000003</v>
      </c>
      <c r="P26" s="1">
        <f>N26-O26</f>
        <v>0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(N28/48)*18</f>
        <v>10875</v>
      </c>
      <c r="P28" s="1">
        <f>N28-O28</f>
        <v>18125</v>
      </c>
    </row>
    <row r="29" spans="1:19" x14ac:dyDescent="0.35">
      <c r="M29" t="s">
        <v>36</v>
      </c>
      <c r="N29">
        <f>2500+750+1200+2000+15000+25000</f>
        <v>46450</v>
      </c>
      <c r="O29" s="18">
        <f>(N29/24)*18</f>
        <v>34837.5</v>
      </c>
      <c r="P29" s="1">
        <f t="shared" ref="P29:P31" si="0">N29-O29</f>
        <v>11612.5</v>
      </c>
    </row>
    <row r="30" spans="1:19" x14ac:dyDescent="0.35">
      <c r="M30" t="s">
        <v>37</v>
      </c>
      <c r="N30">
        <v>128000</v>
      </c>
      <c r="O30" s="18">
        <f>(N30/18)*18</f>
        <v>128000</v>
      </c>
      <c r="P30" s="1">
        <f t="shared" si="0"/>
        <v>0</v>
      </c>
    </row>
    <row r="31" spans="1:19" x14ac:dyDescent="0.35">
      <c r="M31" t="s">
        <v>32</v>
      </c>
      <c r="N31">
        <f>(5000+6000+9695)</f>
        <v>20695</v>
      </c>
      <c r="O31" s="18">
        <f>(6000/12)*10+(9695/12)*4</f>
        <v>8231.6666666666661</v>
      </c>
      <c r="P31" s="1">
        <f t="shared" si="0"/>
        <v>12463.333333333334</v>
      </c>
    </row>
    <row r="32" spans="1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8333.33*19</f>
        <v>158333.26999999999</v>
      </c>
      <c r="P33">
        <f>N33-O33</f>
        <v>41666.73000000001</v>
      </c>
    </row>
    <row r="34" spans="13:23" ht="15.5" x14ac:dyDescent="0.35">
      <c r="M34" s="4" t="s">
        <v>41</v>
      </c>
      <c r="N34">
        <v>10000</v>
      </c>
      <c r="O34" s="17"/>
      <c r="P34">
        <v>10000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>
        <v>280612.17</v>
      </c>
      <c r="O37" s="17"/>
      <c r="P37" s="15">
        <f>N37</f>
        <v>280612.17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>
        <f>N41+N39+N40</f>
        <v>172480.96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>
        <v>17541.8</v>
      </c>
      <c r="O40" s="17"/>
    </row>
    <row r="41" spans="13:23" x14ac:dyDescent="0.35">
      <c r="M41" t="s">
        <v>22</v>
      </c>
      <c r="N41">
        <f>154375.72-805.56</f>
        <v>153570.16</v>
      </c>
      <c r="O41" s="17"/>
    </row>
    <row r="42" spans="13:23" ht="18.5" x14ac:dyDescent="0.45">
      <c r="M42" s="6" t="s">
        <v>51</v>
      </c>
      <c r="N42" s="11">
        <f>SUM(N23:N39)</f>
        <v>1047135.94</v>
      </c>
      <c r="O42" s="12">
        <f>SUM(O23:O33)</f>
        <v>507715.03791666671</v>
      </c>
      <c r="P42" s="10">
        <f>SUM(P23:P38)</f>
        <v>710532.86208333331</v>
      </c>
      <c r="Q42" s="6" t="s">
        <v>50</v>
      </c>
      <c r="R42" s="6"/>
      <c r="S42" s="10">
        <f>S21</f>
        <v>710532.86333333328</v>
      </c>
      <c r="W42" s="1">
        <f>P42-S42</f>
        <v>-1.2499999720603228E-3</v>
      </c>
    </row>
    <row r="46" spans="13:23" x14ac:dyDescent="0.35">
      <c r="S46" s="1">
        <f>P42-S42</f>
        <v>-1.2499999720603228E-3</v>
      </c>
    </row>
    <row r="49" spans="16:25" x14ac:dyDescent="0.35">
      <c r="P49" s="1">
        <f>SUM(O23:O31)</f>
        <v>349381.76791666669</v>
      </c>
    </row>
    <row r="50" spans="16:25" x14ac:dyDescent="0.35">
      <c r="P50">
        <f>P49/8</f>
        <v>43672.720989583337</v>
      </c>
    </row>
    <row r="58" spans="16:25" ht="15" thickBot="1" x14ac:dyDescent="0.4"/>
    <row r="59" spans="16:25" ht="15" thickBot="1" x14ac:dyDescent="0.4">
      <c r="W59" s="28" t="s">
        <v>72</v>
      </c>
      <c r="X59" s="29"/>
      <c r="Y59" s="30"/>
    </row>
    <row r="60" spans="16:25" ht="15" thickBot="1" x14ac:dyDescent="0.4">
      <c r="W60" s="19" t="s">
        <v>67</v>
      </c>
      <c r="X60" s="20" t="s">
        <v>60</v>
      </c>
      <c r="Y60" s="20" t="s">
        <v>61</v>
      </c>
    </row>
    <row r="61" spans="16:25" ht="15" thickBot="1" x14ac:dyDescent="0.4">
      <c r="W61" s="19" t="s">
        <v>62</v>
      </c>
      <c r="X61" s="21">
        <f>X64-151038-140000</f>
        <v>650298.18249999988</v>
      </c>
      <c r="Y61" s="22">
        <f>X61/X64</f>
        <v>0.69082459018300824</v>
      </c>
    </row>
    <row r="62" spans="16:25" ht="15" thickBot="1" x14ac:dyDescent="0.4">
      <c r="W62" s="19" t="s">
        <v>63</v>
      </c>
      <c r="X62" s="21">
        <v>151038</v>
      </c>
      <c r="Y62" s="22">
        <f>X62/X64</f>
        <v>0.16045064750286492</v>
      </c>
    </row>
    <row r="63" spans="16:25" ht="15" thickBot="1" x14ac:dyDescent="0.4">
      <c r="W63" s="19" t="s">
        <v>64</v>
      </c>
      <c r="X63" s="21">
        <f>115000+25000</f>
        <v>140000</v>
      </c>
      <c r="Y63" s="22">
        <f>X63/X64</f>
        <v>0.14872476231412685</v>
      </c>
    </row>
    <row r="64" spans="16:25" ht="15" thickBot="1" x14ac:dyDescent="0.4">
      <c r="W64" s="19" t="s">
        <v>65</v>
      </c>
      <c r="X64" s="21">
        <f>R22</f>
        <v>941336.18249999988</v>
      </c>
      <c r="Y64" s="22">
        <f>Y61+Y62+Y63</f>
        <v>1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B2:E2"/>
    <mergeCell ref="I2:L2"/>
    <mergeCell ref="B3:E3"/>
    <mergeCell ref="I3:L3"/>
    <mergeCell ref="B4:E4"/>
    <mergeCell ref="I4:L4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M18:S18"/>
    <mergeCell ref="M19:S19"/>
    <mergeCell ref="W59:Y59"/>
    <mergeCell ref="M71:O71"/>
    <mergeCell ref="C13:D13"/>
    <mergeCell ref="C14:D14"/>
    <mergeCell ref="C15:D15"/>
    <mergeCell ref="C16:D16"/>
    <mergeCell ref="C17:D17"/>
    <mergeCell ref="M17:S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FB0A-051C-4FF3-BB8F-17796CDE83BF}">
  <dimension ref="A2:Y76"/>
  <sheetViews>
    <sheetView topLeftCell="K17" workbookViewId="0">
      <selection activeCell="O33" sqref="O33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6" max="6" width="10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6328125" customWidth="1"/>
    <col min="25" max="25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91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88</v>
      </c>
      <c r="C4" s="33"/>
      <c r="D4" s="33"/>
      <c r="E4" s="33"/>
      <c r="I4" s="33" t="s">
        <v>92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52175</v>
      </c>
      <c r="I5" t="s">
        <v>13</v>
      </c>
      <c r="J5" s="35"/>
      <c r="K5" s="35"/>
      <c r="L5" s="1">
        <f>'Juin 2025'!L8</f>
        <v>912342.51333333319</v>
      </c>
    </row>
    <row r="6" spans="2:13" x14ac:dyDescent="0.35">
      <c r="B6" t="s">
        <v>3</v>
      </c>
      <c r="C6" s="35">
        <v>41383.300000000003</v>
      </c>
      <c r="D6" s="35"/>
      <c r="I6" t="s">
        <v>14</v>
      </c>
      <c r="J6" s="35"/>
      <c r="K6" s="35"/>
      <c r="L6" s="1">
        <v>0</v>
      </c>
    </row>
    <row r="7" spans="2:13" x14ac:dyDescent="0.35">
      <c r="B7" t="s">
        <v>4</v>
      </c>
      <c r="C7" s="35"/>
      <c r="D7" s="35"/>
      <c r="E7" s="2">
        <f>C6</f>
        <v>41383.300000000003</v>
      </c>
      <c r="I7" t="s">
        <v>11</v>
      </c>
      <c r="J7" s="35"/>
      <c r="K7" s="35"/>
      <c r="L7" s="1">
        <f>E18</f>
        <v>-22577.84583333334</v>
      </c>
    </row>
    <row r="8" spans="2:13" ht="17.5" x14ac:dyDescent="0.35">
      <c r="B8" t="s">
        <v>6</v>
      </c>
      <c r="C8" s="35"/>
      <c r="D8" s="35"/>
      <c r="E8">
        <f>E5-C6</f>
        <v>10791.699999999997</v>
      </c>
      <c r="I8" s="4" t="s">
        <v>90</v>
      </c>
      <c r="J8" s="35"/>
      <c r="K8" s="35"/>
      <c r="L8" s="5">
        <f>SUM(L5:L7)</f>
        <v>889764.66749999986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15000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8</v>
      </c>
      <c r="C12" s="34">
        <f>(20802.71/12)+(29040/12)</f>
        <v>4153.5591666666669</v>
      </c>
      <c r="D12" s="34"/>
      <c r="J12" s="1"/>
    </row>
    <row r="13" spans="2:13" x14ac:dyDescent="0.35">
      <c r="B13" t="s">
        <v>42</v>
      </c>
      <c r="C13" s="34">
        <f>25692.72-2275.79-7111.11</f>
        <v>16305.82</v>
      </c>
      <c r="D13" s="35"/>
    </row>
    <row r="14" spans="2:13" x14ac:dyDescent="0.35">
      <c r="B14" t="s">
        <v>48</v>
      </c>
      <c r="C14" s="34">
        <f>30000/12+11650/12</f>
        <v>3470.8333333333335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47263.545833333337</v>
      </c>
    </row>
    <row r="16" spans="2:13" ht="15.5" x14ac:dyDescent="0.35">
      <c r="B16" s="14" t="s">
        <v>11</v>
      </c>
      <c r="C16" s="35"/>
      <c r="D16" s="35"/>
      <c r="E16" s="13">
        <f>E8-E15</f>
        <v>-36471.84583333334</v>
      </c>
    </row>
    <row r="17" spans="1:19" ht="18.5" x14ac:dyDescent="0.45">
      <c r="B17" t="s">
        <v>46</v>
      </c>
      <c r="C17" s="35">
        <f>9000+4894</f>
        <v>13894</v>
      </c>
      <c r="D17" s="35"/>
      <c r="E17">
        <f>C17</f>
        <v>13894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47</v>
      </c>
      <c r="E18" s="3">
        <f>E16+E17</f>
        <v>-22577.84583333334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M19" s="33" t="s">
        <v>89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731851.69749999989</v>
      </c>
    </row>
    <row r="22" spans="1:19" ht="15.5" x14ac:dyDescent="0.35">
      <c r="M22" s="8" t="s">
        <v>17</v>
      </c>
      <c r="Q22" t="s">
        <v>25</v>
      </c>
      <c r="R22" s="1">
        <f>L5+L6</f>
        <v>912342.51333333319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(N23/48)*19</f>
        <v>99906.540208333332</v>
      </c>
      <c r="P23" s="1">
        <f>N23-O23</f>
        <v>152488.92979166668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(N24/18)*18</f>
        <v>26000</v>
      </c>
      <c r="P24" s="1">
        <f>N24-O24</f>
        <v>0</v>
      </c>
      <c r="Q24" t="s">
        <v>44</v>
      </c>
      <c r="R24" s="1">
        <f>-386036.46-13500-27500-37359.67-88819.54+33613.94-29972.5+87532.4+56880.81+36807.67+9938.26+10872.6+15048.45-17021.9-80209.31+88728.66+107539.05+32453.45-805.56+43896.68</f>
        <v>-157912.96999999997</v>
      </c>
    </row>
    <row r="25" spans="1:19" x14ac:dyDescent="0.35">
      <c r="M25" t="s">
        <v>58</v>
      </c>
      <c r="N25">
        <f>11650</f>
        <v>11650</v>
      </c>
      <c r="O25" s="18">
        <f>(N25/12)*7</f>
        <v>6795.8333333333339</v>
      </c>
      <c r="P25" s="1">
        <f>N25-O25</f>
        <v>4854.1666666666661</v>
      </c>
      <c r="Q25" t="s">
        <v>45</v>
      </c>
      <c r="R25" s="1">
        <f>L7</f>
        <v>-22577.84583333334</v>
      </c>
    </row>
    <row r="26" spans="1:19" ht="15.5" x14ac:dyDescent="0.35">
      <c r="M26" s="4" t="s">
        <v>32</v>
      </c>
      <c r="N26">
        <v>40964.300000000003</v>
      </c>
      <c r="O26" s="18">
        <f>(N26/18)*18</f>
        <v>40964.300000000003</v>
      </c>
      <c r="P26" s="1">
        <f>N26-O26</f>
        <v>0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(N28/48)*19</f>
        <v>11479.166666666666</v>
      </c>
      <c r="P28" s="1">
        <f>N28-O28</f>
        <v>17520.833333333336</v>
      </c>
    </row>
    <row r="29" spans="1:19" x14ac:dyDescent="0.35">
      <c r="M29" t="s">
        <v>36</v>
      </c>
      <c r="N29">
        <f>2500+750+1200+2000+15000+25000</f>
        <v>46450</v>
      </c>
      <c r="O29" s="18">
        <f>(N29/24)*19</f>
        <v>36772.916666666672</v>
      </c>
      <c r="P29" s="1">
        <f t="shared" ref="P29:P31" si="0">N29-O29</f>
        <v>9677.0833333333285</v>
      </c>
    </row>
    <row r="30" spans="1:19" x14ac:dyDescent="0.35">
      <c r="M30" t="s">
        <v>37</v>
      </c>
      <c r="N30">
        <v>128000</v>
      </c>
      <c r="O30" s="18">
        <f>(N30/18)*18</f>
        <v>128000</v>
      </c>
      <c r="P30" s="1">
        <f t="shared" si="0"/>
        <v>0</v>
      </c>
    </row>
    <row r="31" spans="1:19" x14ac:dyDescent="0.35">
      <c r="M31" t="s">
        <v>32</v>
      </c>
      <c r="N31">
        <f>(5000+6000+9695)</f>
        <v>20695</v>
      </c>
      <c r="O31" s="18">
        <f>(6000/12)*11+(9695/12)*5</f>
        <v>9539.5833333333321</v>
      </c>
      <c r="P31" s="1">
        <f t="shared" si="0"/>
        <v>11155.416666666668</v>
      </c>
    </row>
    <row r="32" spans="1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8333.33*14</f>
        <v>116666.62</v>
      </c>
      <c r="P33">
        <f>N33-O33</f>
        <v>83333.38</v>
      </c>
    </row>
    <row r="34" spans="13:23" ht="15.5" x14ac:dyDescent="0.35">
      <c r="M34" s="4" t="s">
        <v>41</v>
      </c>
      <c r="N34">
        <v>10000</v>
      </c>
      <c r="O34" s="17"/>
      <c r="P34">
        <v>10000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>
        <v>239228.89</v>
      </c>
      <c r="O37" s="17"/>
      <c r="P37" s="15">
        <f>N37</f>
        <v>239228.89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>
        <f>N41+N39+N40</f>
        <v>203593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>
        <v>13854</v>
      </c>
      <c r="O40" s="17"/>
    </row>
    <row r="41" spans="13:23" x14ac:dyDescent="0.35">
      <c r="M41" t="s">
        <v>22</v>
      </c>
      <c r="N41">
        <v>188370</v>
      </c>
      <c r="O41" s="17"/>
    </row>
    <row r="42" spans="13:23" ht="18.5" x14ac:dyDescent="0.45">
      <c r="M42" s="6" t="s">
        <v>51</v>
      </c>
      <c r="N42" s="11">
        <f>SUM(N23:N39)</f>
        <v>1005752.66</v>
      </c>
      <c r="O42" s="12">
        <f>SUM(O23:O33)</f>
        <v>476124.96020833327</v>
      </c>
      <c r="P42" s="10">
        <f>SUM(P23:P38)</f>
        <v>731851.6997916667</v>
      </c>
      <c r="Q42" s="6" t="s">
        <v>50</v>
      </c>
      <c r="R42" s="6"/>
      <c r="S42" s="10">
        <f>S21</f>
        <v>731851.69749999989</v>
      </c>
      <c r="W42" s="1">
        <f>P42-S42</f>
        <v>2.2916668094694614E-3</v>
      </c>
    </row>
    <row r="46" spans="13:23" x14ac:dyDescent="0.35">
      <c r="S46" s="1">
        <f>P42-S42</f>
        <v>2.2916668094694614E-3</v>
      </c>
    </row>
    <row r="49" spans="16:25" x14ac:dyDescent="0.35">
      <c r="P49" s="1">
        <f>SUM(O23:O31)</f>
        <v>359458.34020833328</v>
      </c>
    </row>
    <row r="50" spans="16:25" x14ac:dyDescent="0.35">
      <c r="P50">
        <f>P49/8</f>
        <v>44932.29252604166</v>
      </c>
    </row>
    <row r="58" spans="16:25" ht="15" thickBot="1" x14ac:dyDescent="0.4"/>
    <row r="59" spans="16:25" ht="15" thickBot="1" x14ac:dyDescent="0.4">
      <c r="W59" s="28" t="s">
        <v>72</v>
      </c>
      <c r="X59" s="29"/>
      <c r="Y59" s="30"/>
    </row>
    <row r="60" spans="16:25" ht="15" thickBot="1" x14ac:dyDescent="0.4">
      <c r="W60" s="19" t="s">
        <v>67</v>
      </c>
      <c r="X60" s="20" t="s">
        <v>60</v>
      </c>
      <c r="Y60" s="20" t="s">
        <v>61</v>
      </c>
    </row>
    <row r="61" spans="16:25" ht="15" thickBot="1" x14ac:dyDescent="0.4">
      <c r="W61" s="19" t="s">
        <v>62</v>
      </c>
      <c r="X61" s="21">
        <f>X64-151038-140000</f>
        <v>621304.51333333319</v>
      </c>
      <c r="Y61" s="22">
        <f>X61/X64</f>
        <v>0.68099919082290272</v>
      </c>
    </row>
    <row r="62" spans="16:25" ht="15" thickBot="1" x14ac:dyDescent="0.4">
      <c r="W62" s="19" t="s">
        <v>63</v>
      </c>
      <c r="X62" s="21">
        <v>151038</v>
      </c>
      <c r="Y62" s="22">
        <f>X62/X64</f>
        <v>0.16554966779764302</v>
      </c>
    </row>
    <row r="63" spans="16:25" ht="15" thickBot="1" x14ac:dyDescent="0.4">
      <c r="W63" s="19" t="s">
        <v>64</v>
      </c>
      <c r="X63" s="21">
        <f>115000+25000</f>
        <v>140000</v>
      </c>
      <c r="Y63" s="22">
        <f>X63/X64</f>
        <v>0.15345114137945431</v>
      </c>
    </row>
    <row r="64" spans="16:25" ht="15" thickBot="1" x14ac:dyDescent="0.4">
      <c r="W64" s="19" t="s">
        <v>65</v>
      </c>
      <c r="X64" s="21">
        <f>R22</f>
        <v>912342.51333333319</v>
      </c>
      <c r="Y64" s="22">
        <f>Y61+Y62+Y63</f>
        <v>1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M18:S18"/>
    <mergeCell ref="M19:S19"/>
    <mergeCell ref="W59:Y59"/>
    <mergeCell ref="M71:O71"/>
    <mergeCell ref="C13:D13"/>
    <mergeCell ref="C14:D14"/>
    <mergeCell ref="C15:D15"/>
    <mergeCell ref="C16:D16"/>
    <mergeCell ref="C17:D17"/>
    <mergeCell ref="M17:S17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B2:E2"/>
    <mergeCell ref="I2:L2"/>
    <mergeCell ref="B3:E3"/>
    <mergeCell ref="I3:L3"/>
    <mergeCell ref="B4:E4"/>
    <mergeCell ref="I4:L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73CF-192E-47A2-8DAA-8F3D2C9BB3F0}">
  <dimension ref="A2:Y76"/>
  <sheetViews>
    <sheetView topLeftCell="H1" workbookViewId="0">
      <selection activeCell="O23" sqref="O23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6" max="6" width="10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6328125" customWidth="1"/>
    <col min="25" max="25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91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93</v>
      </c>
      <c r="C4" s="33"/>
      <c r="D4" s="33"/>
      <c r="E4" s="33"/>
      <c r="I4" s="33" t="s">
        <v>94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39525</v>
      </c>
      <c r="I5" t="s">
        <v>13</v>
      </c>
      <c r="J5" s="35"/>
      <c r="K5" s="35"/>
      <c r="L5" s="1">
        <f>'Juill 2025'!L8</f>
        <v>889764.66749999986</v>
      </c>
    </row>
    <row r="6" spans="2:13" x14ac:dyDescent="0.35">
      <c r="B6" t="s">
        <v>3</v>
      </c>
      <c r="C6" s="35">
        <v>29895.040000000001</v>
      </c>
      <c r="D6" s="35"/>
      <c r="I6" t="s">
        <v>14</v>
      </c>
      <c r="J6" s="35"/>
      <c r="K6" s="35"/>
      <c r="L6" s="1">
        <v>0</v>
      </c>
    </row>
    <row r="7" spans="2:13" x14ac:dyDescent="0.35">
      <c r="B7" t="s">
        <v>4</v>
      </c>
      <c r="C7" s="35"/>
      <c r="D7" s="35"/>
      <c r="E7" s="2">
        <f>C6</f>
        <v>29895.040000000001</v>
      </c>
      <c r="I7" t="s">
        <v>11</v>
      </c>
      <c r="J7" s="35"/>
      <c r="K7" s="35"/>
      <c r="L7" s="1">
        <f>E18</f>
        <v>-33282.585833333338</v>
      </c>
    </row>
    <row r="8" spans="2:13" ht="17.5" x14ac:dyDescent="0.35">
      <c r="B8" t="s">
        <v>6</v>
      </c>
      <c r="C8" s="35"/>
      <c r="D8" s="35"/>
      <c r="E8">
        <f>E5-C6</f>
        <v>9629.9599999999991</v>
      </c>
      <c r="I8" s="4" t="s">
        <v>95</v>
      </c>
      <c r="J8" s="35"/>
      <c r="K8" s="35"/>
      <c r="L8" s="5">
        <f>SUM(L5:L7)</f>
        <v>856482.08166666655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15000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8</v>
      </c>
      <c r="C12" s="34">
        <f>(20802.71/12)+(29040/12)</f>
        <v>4153.5591666666669</v>
      </c>
      <c r="D12" s="34"/>
      <c r="J12" s="1"/>
    </row>
    <row r="13" spans="2:13" x14ac:dyDescent="0.35">
      <c r="B13" t="s">
        <v>42</v>
      </c>
      <c r="C13" s="34">
        <f>25692.72-2275.79-7111.11</f>
        <v>16305.82</v>
      </c>
      <c r="D13" s="35"/>
    </row>
    <row r="14" spans="2:13" x14ac:dyDescent="0.35">
      <c r="B14" t="s">
        <v>48</v>
      </c>
      <c r="C14" s="34">
        <f>11650/12</f>
        <v>970.83333333333337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44763.545833333337</v>
      </c>
    </row>
    <row r="16" spans="2:13" ht="15.5" x14ac:dyDescent="0.35">
      <c r="B16" s="14" t="s">
        <v>11</v>
      </c>
      <c r="C16" s="35"/>
      <c r="D16" s="35"/>
      <c r="E16" s="13">
        <f>E8-E15</f>
        <v>-35133.585833333338</v>
      </c>
    </row>
    <row r="17" spans="1:19" ht="18.5" x14ac:dyDescent="0.45">
      <c r="B17" t="s">
        <v>46</v>
      </c>
      <c r="C17" s="35">
        <f>1851</f>
        <v>1851</v>
      </c>
      <c r="D17" s="35"/>
      <c r="E17">
        <f>C17</f>
        <v>1851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47</v>
      </c>
      <c r="E18" s="3">
        <f>E16+E17</f>
        <v>-33282.585833333338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M19" s="33" t="s">
        <v>96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710286.12166666659</v>
      </c>
    </row>
    <row r="22" spans="1:19" ht="15.5" x14ac:dyDescent="0.35">
      <c r="M22" s="8" t="s">
        <v>17</v>
      </c>
      <c r="Q22" t="s">
        <v>25</v>
      </c>
      <c r="R22" s="1">
        <f>L5+L6</f>
        <v>889764.66749999986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(N23/48)*20</f>
        <v>105164.77916666667</v>
      </c>
      <c r="P23" s="1">
        <f>N23-O23</f>
        <v>147230.69083333333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(N24/18)*18</f>
        <v>26000</v>
      </c>
      <c r="P24" s="1">
        <f>N24-O24</f>
        <v>0</v>
      </c>
      <c r="Q24" t="s">
        <v>44</v>
      </c>
      <c r="R24" s="1">
        <f>-386036.46-13500-27500-37359.67-88819.54+33613.94-29972.5+87532.4+56880.81+36807.67+9938.26+10872.6+15048.45-17021.9-80209.31+88728.66+107539.05+32453.45-805.56+43896.68+11717.01</f>
        <v>-146195.95999999996</v>
      </c>
    </row>
    <row r="25" spans="1:19" x14ac:dyDescent="0.35">
      <c r="M25" t="s">
        <v>58</v>
      </c>
      <c r="N25">
        <f>11650</f>
        <v>11650</v>
      </c>
      <c r="O25" s="18">
        <f>(N25/12)*8</f>
        <v>7766.666666666667</v>
      </c>
      <c r="P25" s="1">
        <f>N25-O25</f>
        <v>3883.333333333333</v>
      </c>
      <c r="Q25" t="s">
        <v>45</v>
      </c>
      <c r="R25" s="1">
        <f>L7</f>
        <v>-33282.585833333338</v>
      </c>
    </row>
    <row r="26" spans="1:19" ht="15.5" x14ac:dyDescent="0.35">
      <c r="M26" s="4" t="s">
        <v>32</v>
      </c>
      <c r="N26">
        <v>40964.300000000003</v>
      </c>
      <c r="O26" s="18">
        <f>(N26/18)*18</f>
        <v>40964.300000000003</v>
      </c>
      <c r="P26" s="1">
        <f>N26-O26</f>
        <v>0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(N28/48)*20</f>
        <v>12083.333333333332</v>
      </c>
      <c r="P28" s="1">
        <f>N28-O28</f>
        <v>16916.666666666668</v>
      </c>
    </row>
    <row r="29" spans="1:19" x14ac:dyDescent="0.35">
      <c r="M29" t="s">
        <v>36</v>
      </c>
      <c r="N29">
        <f>2500+750+1200+2000+15000+25000</f>
        <v>46450</v>
      </c>
      <c r="O29" s="18">
        <f>(N29/24)*20</f>
        <v>38708.333333333336</v>
      </c>
      <c r="P29" s="1">
        <f t="shared" ref="P29:P31" si="0">N29-O29</f>
        <v>7741.6666666666642</v>
      </c>
    </row>
    <row r="30" spans="1:19" x14ac:dyDescent="0.35">
      <c r="M30" t="s">
        <v>37</v>
      </c>
      <c r="N30">
        <v>128000</v>
      </c>
      <c r="O30" s="18">
        <f>(N30/18)*18</f>
        <v>128000</v>
      </c>
      <c r="P30" s="1">
        <f t="shared" si="0"/>
        <v>0</v>
      </c>
    </row>
    <row r="31" spans="1:19" x14ac:dyDescent="0.35">
      <c r="M31" t="s">
        <v>32</v>
      </c>
      <c r="N31">
        <f>(5000+6000+9695)</f>
        <v>20695</v>
      </c>
      <c r="O31" s="18">
        <f>(6000/12)*12+(9695/12)*6</f>
        <v>10847.5</v>
      </c>
      <c r="P31" s="1">
        <f t="shared" si="0"/>
        <v>9847.5</v>
      </c>
    </row>
    <row r="32" spans="1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8333.33*15</f>
        <v>124999.95</v>
      </c>
      <c r="P33">
        <f>N33-O33</f>
        <v>75000.05</v>
      </c>
    </row>
    <row r="34" spans="13:23" ht="15.5" x14ac:dyDescent="0.35">
      <c r="M34" s="4" t="s">
        <v>41</v>
      </c>
      <c r="N34">
        <f>10000+6000</f>
        <v>16000</v>
      </c>
      <c r="O34" s="17"/>
      <c r="P34">
        <f>N34</f>
        <v>16000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>
        <v>258949.91</v>
      </c>
      <c r="O37" s="17"/>
      <c r="P37" s="15">
        <f>N37</f>
        <v>258949.91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>
        <f>N41+N39+N40</f>
        <v>174716.3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>
        <v>20452.3</v>
      </c>
      <c r="O40" s="17"/>
    </row>
    <row r="41" spans="13:23" x14ac:dyDescent="0.35">
      <c r="M41" t="s">
        <v>22</v>
      </c>
      <c r="N41">
        <v>152895</v>
      </c>
      <c r="O41" s="17"/>
    </row>
    <row r="42" spans="13:23" ht="18.5" x14ac:dyDescent="0.45">
      <c r="M42" s="6" t="s">
        <v>51</v>
      </c>
      <c r="N42" s="11">
        <f>SUM(N23:N39)</f>
        <v>1031473.68</v>
      </c>
      <c r="O42" s="12">
        <f>SUM(O23:O33)</f>
        <v>494534.86250000005</v>
      </c>
      <c r="P42" s="10">
        <f>SUM(P23:P38)</f>
        <v>710286.11749999993</v>
      </c>
      <c r="Q42" s="6" t="s">
        <v>50</v>
      </c>
      <c r="R42" s="6"/>
      <c r="S42" s="10">
        <f>S21</f>
        <v>710286.12166666659</v>
      </c>
      <c r="W42" s="1">
        <f>P42-S42</f>
        <v>-4.1666666511446238E-3</v>
      </c>
    </row>
    <row r="46" spans="13:23" x14ac:dyDescent="0.35">
      <c r="S46" s="1">
        <f>P42-S42</f>
        <v>-4.1666666511446238E-3</v>
      </c>
    </row>
    <row r="49" spans="16:25" x14ac:dyDescent="0.35">
      <c r="P49" s="1">
        <f>SUM(O23:O31)</f>
        <v>369534.91250000003</v>
      </c>
    </row>
    <row r="50" spans="16:25" x14ac:dyDescent="0.35">
      <c r="P50">
        <f>P49/8</f>
        <v>46191.864062500004</v>
      </c>
    </row>
    <row r="58" spans="16:25" ht="15" thickBot="1" x14ac:dyDescent="0.4"/>
    <row r="59" spans="16:25" ht="15" thickBot="1" x14ac:dyDescent="0.4">
      <c r="W59" s="28" t="s">
        <v>72</v>
      </c>
      <c r="X59" s="29"/>
      <c r="Y59" s="30"/>
    </row>
    <row r="60" spans="16:25" ht="15" thickBot="1" x14ac:dyDescent="0.4">
      <c r="W60" s="19" t="s">
        <v>67</v>
      </c>
      <c r="X60" s="20" t="s">
        <v>60</v>
      </c>
      <c r="Y60" s="20" t="s">
        <v>61</v>
      </c>
    </row>
    <row r="61" spans="16:25" ht="15" thickBot="1" x14ac:dyDescent="0.4">
      <c r="W61" s="19" t="s">
        <v>62</v>
      </c>
      <c r="X61" s="21">
        <f>X64-151038-140000</f>
        <v>598726.66749999986</v>
      </c>
      <c r="Y61" s="22">
        <f>X61/X64</f>
        <v>0.67290452112721133</v>
      </c>
    </row>
    <row r="62" spans="16:25" ht="15" thickBot="1" x14ac:dyDescent="0.4">
      <c r="W62" s="19" t="s">
        <v>63</v>
      </c>
      <c r="X62" s="21">
        <v>151038</v>
      </c>
      <c r="Y62" s="22">
        <f>X62/X64</f>
        <v>0.16975050315762288</v>
      </c>
    </row>
    <row r="63" spans="16:25" ht="15" thickBot="1" x14ac:dyDescent="0.4">
      <c r="W63" s="19" t="s">
        <v>64</v>
      </c>
      <c r="X63" s="21">
        <f>115000+25000</f>
        <v>140000</v>
      </c>
      <c r="Y63" s="22">
        <f>X63/X64</f>
        <v>0.15734497571516573</v>
      </c>
    </row>
    <row r="64" spans="16:25" ht="15" thickBot="1" x14ac:dyDescent="0.4">
      <c r="W64" s="19" t="s">
        <v>65</v>
      </c>
      <c r="X64" s="21">
        <f>R22</f>
        <v>889764.66749999986</v>
      </c>
      <c r="Y64" s="22">
        <f>Y61+Y62+Y63</f>
        <v>0.99999999999999989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M18:S18"/>
    <mergeCell ref="M19:S19"/>
    <mergeCell ref="W59:Y59"/>
    <mergeCell ref="M71:O71"/>
    <mergeCell ref="C13:D13"/>
    <mergeCell ref="C14:D14"/>
    <mergeCell ref="C15:D15"/>
    <mergeCell ref="C16:D16"/>
    <mergeCell ref="C17:D17"/>
    <mergeCell ref="M17:S17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B2:E2"/>
    <mergeCell ref="I2:L2"/>
    <mergeCell ref="B3:E3"/>
    <mergeCell ref="I3:L3"/>
    <mergeCell ref="B4:E4"/>
    <mergeCell ref="I4:L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D2DE-5395-4E8A-B804-DDF59C9C03EF}">
  <dimension ref="A2:Y76"/>
  <sheetViews>
    <sheetView tabSelected="1" workbookViewId="0">
      <selection activeCell="T27" sqref="T27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6" max="6" width="10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6328125" customWidth="1"/>
    <col min="25" max="25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91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97</v>
      </c>
      <c r="C4" s="33"/>
      <c r="D4" s="33"/>
      <c r="E4" s="33"/>
      <c r="I4" s="33" t="s">
        <v>98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33450</v>
      </c>
      <c r="I5" t="s">
        <v>13</v>
      </c>
      <c r="J5" s="35"/>
      <c r="K5" s="35"/>
      <c r="L5" s="1">
        <v>856482.08</v>
      </c>
    </row>
    <row r="6" spans="2:13" x14ac:dyDescent="0.35">
      <c r="B6" t="s">
        <v>3</v>
      </c>
      <c r="C6" s="35">
        <v>25410</v>
      </c>
      <c r="D6" s="35"/>
      <c r="I6" t="s">
        <v>14</v>
      </c>
      <c r="J6" s="35"/>
      <c r="K6" s="35"/>
      <c r="L6" s="1">
        <v>0</v>
      </c>
    </row>
    <row r="7" spans="2:13" x14ac:dyDescent="0.35">
      <c r="B7" t="s">
        <v>4</v>
      </c>
      <c r="C7" s="35"/>
      <c r="D7" s="35"/>
      <c r="E7" s="2">
        <f>C6</f>
        <v>25410</v>
      </c>
      <c r="I7" t="s">
        <v>11</v>
      </c>
      <c r="J7" s="35"/>
      <c r="K7" s="35"/>
      <c r="L7" s="1">
        <f>E18</f>
        <v>-31723.545833333337</v>
      </c>
    </row>
    <row r="8" spans="2:13" ht="17.5" x14ac:dyDescent="0.35">
      <c r="B8" t="s">
        <v>6</v>
      </c>
      <c r="C8" s="35"/>
      <c r="D8" s="35"/>
      <c r="E8">
        <f>E5-C6</f>
        <v>8040</v>
      </c>
      <c r="I8" s="4" t="s">
        <v>103</v>
      </c>
      <c r="J8" s="35"/>
      <c r="K8" s="35"/>
      <c r="L8" s="5">
        <f>SUM(L5:L7)</f>
        <v>824758.53416666668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15000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102</v>
      </c>
      <c r="C12" s="34">
        <f>(20802.71/12)+(29040/12)</f>
        <v>4153.5591666666669</v>
      </c>
      <c r="D12" s="34"/>
      <c r="J12" s="1"/>
    </row>
    <row r="13" spans="2:13" x14ac:dyDescent="0.35">
      <c r="B13" t="s">
        <v>101</v>
      </c>
      <c r="C13" s="34">
        <f>25692.72-2275.79-7111.11</f>
        <v>16305.82</v>
      </c>
      <c r="D13" s="35"/>
    </row>
    <row r="14" spans="2:13" x14ac:dyDescent="0.35">
      <c r="B14" t="s">
        <v>48</v>
      </c>
      <c r="C14" s="34">
        <f>11650/12</f>
        <v>970.83333333333337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44763.545833333337</v>
      </c>
    </row>
    <row r="16" spans="2:13" ht="15.5" x14ac:dyDescent="0.35">
      <c r="B16" s="14" t="s">
        <v>11</v>
      </c>
      <c r="C16" s="35"/>
      <c r="D16" s="35"/>
      <c r="E16" s="13">
        <f>E8-E15</f>
        <v>-36723.545833333337</v>
      </c>
    </row>
    <row r="17" spans="1:19" ht="18.5" x14ac:dyDescent="0.45">
      <c r="B17" t="s">
        <v>46</v>
      </c>
      <c r="C17" s="35">
        <f>5000</f>
        <v>5000</v>
      </c>
      <c r="D17" s="35"/>
      <c r="E17">
        <f>C17</f>
        <v>5000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100</v>
      </c>
      <c r="E18" s="3">
        <f>E16+E17</f>
        <v>-31723.545833333337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M19" s="33" t="s">
        <v>99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638714.64416666678</v>
      </c>
    </row>
    <row r="22" spans="1:19" ht="15.5" x14ac:dyDescent="0.35">
      <c r="M22" s="8" t="s">
        <v>17</v>
      </c>
      <c r="Q22" t="s">
        <v>25</v>
      </c>
      <c r="R22" s="1">
        <f>L5+L6</f>
        <v>856482.08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(N23/48)*21</f>
        <v>110423.018125</v>
      </c>
      <c r="P23" s="1">
        <f>N23-O23</f>
        <v>141972.451875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(N24/18)*18</f>
        <v>26000</v>
      </c>
      <c r="P24" s="1">
        <f>N24-O24</f>
        <v>0</v>
      </c>
      <c r="Q24" t="s">
        <v>44</v>
      </c>
      <c r="R24" s="1">
        <f>-386036.46-13500-27500-37359.67-88819.54+33613.94-29972.5+87532.4+56880.81+36807.67+9938.26+10872.6+15048.45-17021.9-80209.31+88728.66+107539.05+32453.45-805.56+43896.68+11717.01-39847.93</f>
        <v>-186043.88999999996</v>
      </c>
    </row>
    <row r="25" spans="1:19" x14ac:dyDescent="0.35">
      <c r="M25" t="s">
        <v>58</v>
      </c>
      <c r="N25">
        <f>11650</f>
        <v>11650</v>
      </c>
      <c r="O25" s="18">
        <f>(N25/12)*9</f>
        <v>8737.5</v>
      </c>
      <c r="P25" s="1">
        <f>N25-O25</f>
        <v>2912.5</v>
      </c>
      <c r="Q25" t="s">
        <v>45</v>
      </c>
      <c r="R25" s="1">
        <f>L7</f>
        <v>-31723.545833333337</v>
      </c>
    </row>
    <row r="26" spans="1:19" ht="15.5" x14ac:dyDescent="0.35">
      <c r="M26" s="4" t="s">
        <v>32</v>
      </c>
      <c r="N26">
        <v>40964.300000000003</v>
      </c>
      <c r="O26" s="18">
        <f>(N26/18)*18</f>
        <v>40964.300000000003</v>
      </c>
      <c r="P26" s="1">
        <f>N26-O26</f>
        <v>0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(N28/48)*21</f>
        <v>12687.5</v>
      </c>
      <c r="P28" s="1">
        <f>N28-O28</f>
        <v>16312.5</v>
      </c>
    </row>
    <row r="29" spans="1:19" x14ac:dyDescent="0.35">
      <c r="M29" t="s">
        <v>36</v>
      </c>
      <c r="N29">
        <f>2500+750+1200+2000+15000+25000</f>
        <v>46450</v>
      </c>
      <c r="O29" s="18">
        <f>(N29/24)*21</f>
        <v>40643.75</v>
      </c>
      <c r="P29" s="1">
        <f t="shared" ref="P29:P31" si="0">N29-O29</f>
        <v>5806.25</v>
      </c>
    </row>
    <row r="30" spans="1:19" x14ac:dyDescent="0.35">
      <c r="M30" t="s">
        <v>37</v>
      </c>
      <c r="N30">
        <v>128000</v>
      </c>
      <c r="O30" s="18">
        <f>(N30/18)*18</f>
        <v>128000</v>
      </c>
      <c r="P30" s="1">
        <f t="shared" si="0"/>
        <v>0</v>
      </c>
    </row>
    <row r="31" spans="1:19" x14ac:dyDescent="0.35">
      <c r="M31" t="s">
        <v>32</v>
      </c>
      <c r="N31">
        <f>(5000+6000+9695)</f>
        <v>20695</v>
      </c>
      <c r="O31" s="18">
        <f>(6000/12)*12+(9695/12)*7</f>
        <v>11655.416666666666</v>
      </c>
      <c r="P31" s="1">
        <f t="shared" si="0"/>
        <v>9039.5833333333339</v>
      </c>
    </row>
    <row r="32" spans="1:19" ht="15.5" x14ac:dyDescent="0.35">
      <c r="M32" s="8" t="s">
        <v>39</v>
      </c>
      <c r="O32" s="17"/>
    </row>
    <row r="33" spans="13:23" ht="15.5" x14ac:dyDescent="0.35">
      <c r="M33" s="4" t="s">
        <v>40</v>
      </c>
      <c r="N33">
        <v>200000</v>
      </c>
      <c r="O33" s="17">
        <f>8333.33*22</f>
        <v>183333.26</v>
      </c>
      <c r="P33">
        <f>N33-O33</f>
        <v>16666.739999999991</v>
      </c>
    </row>
    <row r="34" spans="13:23" ht="15.5" x14ac:dyDescent="0.35">
      <c r="M34" s="4" t="s">
        <v>41</v>
      </c>
      <c r="N34">
        <f>10000+6000</f>
        <v>16000</v>
      </c>
      <c r="O34" s="17"/>
      <c r="P34">
        <f>N34</f>
        <v>16000</v>
      </c>
    </row>
    <row r="35" spans="13:23" ht="15.5" x14ac:dyDescent="0.35">
      <c r="M35" s="4"/>
      <c r="O35" s="17"/>
    </row>
    <row r="36" spans="13:23" ht="18.5" x14ac:dyDescent="0.45">
      <c r="M36" s="6" t="s">
        <v>18</v>
      </c>
      <c r="O36" s="17"/>
      <c r="Q36" s="6" t="s">
        <v>26</v>
      </c>
    </row>
    <row r="37" spans="13:23" x14ac:dyDescent="0.35">
      <c r="M37" t="s">
        <v>19</v>
      </c>
      <c r="N37" s="15" t="e">
        <f>#REF!</f>
        <v>#REF!</v>
      </c>
      <c r="O37" s="17"/>
      <c r="P37" s="15" t="e">
        <f>N37</f>
        <v>#REF!</v>
      </c>
      <c r="Q37" t="s">
        <v>27</v>
      </c>
      <c r="R37">
        <v>0</v>
      </c>
    </row>
    <row r="38" spans="13:23" x14ac:dyDescent="0.35">
      <c r="M38" s="7" t="s">
        <v>20</v>
      </c>
      <c r="O38" s="17"/>
      <c r="P38" t="e">
        <f>N41+N39+N40</f>
        <v>#REF!</v>
      </c>
      <c r="Q38" t="s">
        <v>28</v>
      </c>
      <c r="R38">
        <v>0</v>
      </c>
    </row>
    <row r="39" spans="13:23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3" x14ac:dyDescent="0.35">
      <c r="M40" t="s">
        <v>59</v>
      </c>
      <c r="N40" t="e">
        <f>#REF!</f>
        <v>#REF!</v>
      </c>
      <c r="O40" s="17"/>
    </row>
    <row r="41" spans="13:23" x14ac:dyDescent="0.35">
      <c r="M41" t="s">
        <v>22</v>
      </c>
      <c r="N41" t="e">
        <f>#REF!</f>
        <v>#REF!</v>
      </c>
      <c r="O41" s="17"/>
    </row>
    <row r="42" spans="13:23" ht="18.5" x14ac:dyDescent="0.45">
      <c r="M42" s="6" t="s">
        <v>51</v>
      </c>
      <c r="N42" s="11" t="e">
        <f>SUM(N23:N39)</f>
        <v>#REF!</v>
      </c>
      <c r="O42" s="12">
        <f>SUM(O23:O33)</f>
        <v>562444.74479166674</v>
      </c>
      <c r="P42" s="10" t="e">
        <f>SUM(P23:P38)</f>
        <v>#REF!</v>
      </c>
      <c r="Q42" s="6" t="s">
        <v>50</v>
      </c>
      <c r="R42" s="6"/>
      <c r="S42" s="10">
        <f>S21</f>
        <v>638714.64416666678</v>
      </c>
      <c r="W42" s="1" t="e">
        <f>P42-S42</f>
        <v>#REF!</v>
      </c>
    </row>
    <row r="46" spans="13:23" x14ac:dyDescent="0.35">
      <c r="S46" s="1" t="e">
        <f>P42-S42</f>
        <v>#REF!</v>
      </c>
    </row>
    <row r="49" spans="16:25" x14ac:dyDescent="0.35">
      <c r="P49" s="1">
        <f>SUM(O23:O31)</f>
        <v>379111.48479166668</v>
      </c>
    </row>
    <row r="50" spans="16:25" x14ac:dyDescent="0.35">
      <c r="P50">
        <f>P49/8</f>
        <v>47388.935598958335</v>
      </c>
    </row>
    <row r="58" spans="16:25" ht="15" thickBot="1" x14ac:dyDescent="0.4"/>
    <row r="59" spans="16:25" ht="15" thickBot="1" x14ac:dyDescent="0.4">
      <c r="W59" s="28" t="s">
        <v>72</v>
      </c>
      <c r="X59" s="29"/>
      <c r="Y59" s="30"/>
    </row>
    <row r="60" spans="16:25" ht="15" thickBot="1" x14ac:dyDescent="0.4">
      <c r="W60" s="19" t="s">
        <v>67</v>
      </c>
      <c r="X60" s="20" t="s">
        <v>60</v>
      </c>
      <c r="Y60" s="20" t="s">
        <v>61</v>
      </c>
    </row>
    <row r="61" spans="16:25" ht="15" thickBot="1" x14ac:dyDescent="0.4">
      <c r="W61" s="19" t="s">
        <v>62</v>
      </c>
      <c r="X61" s="21">
        <f>X64-151038-140000</f>
        <v>565444.07999999996</v>
      </c>
      <c r="Y61" s="22">
        <f>X61/X64</f>
        <v>0.66019370773058084</v>
      </c>
    </row>
    <row r="62" spans="16:25" ht="15" thickBot="1" x14ac:dyDescent="0.4">
      <c r="W62" s="19" t="s">
        <v>63</v>
      </c>
      <c r="X62" s="21">
        <v>151038</v>
      </c>
      <c r="Y62" s="22">
        <f>X62/X64</f>
        <v>0.17634694703711723</v>
      </c>
    </row>
    <row r="63" spans="16:25" ht="15" thickBot="1" x14ac:dyDescent="0.4">
      <c r="W63" s="19" t="s">
        <v>64</v>
      </c>
      <c r="X63" s="21">
        <f>115000+25000</f>
        <v>140000</v>
      </c>
      <c r="Y63" s="22">
        <f>X63/X64</f>
        <v>0.16345934523230188</v>
      </c>
    </row>
    <row r="64" spans="16:25" ht="15" thickBot="1" x14ac:dyDescent="0.4">
      <c r="W64" s="19" t="s">
        <v>65</v>
      </c>
      <c r="X64" s="21">
        <f>R22</f>
        <v>856482.08</v>
      </c>
      <c r="Y64" s="22">
        <f>Y61+Y62+Y63</f>
        <v>1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B2:E2"/>
    <mergeCell ref="I2:L2"/>
    <mergeCell ref="B3:E3"/>
    <mergeCell ref="I3:L3"/>
    <mergeCell ref="B4:E4"/>
    <mergeCell ref="I4:L4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M18:S18"/>
    <mergeCell ref="M19:S19"/>
    <mergeCell ref="W59:Y59"/>
    <mergeCell ref="M71:O71"/>
    <mergeCell ref="C13:D13"/>
    <mergeCell ref="C14:D14"/>
    <mergeCell ref="C15:D15"/>
    <mergeCell ref="C16:D16"/>
    <mergeCell ref="C17:D17"/>
    <mergeCell ref="M17:S1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314E-159A-4EB0-94F6-0818B92F8F62}">
  <dimension ref="A2:Z76"/>
  <sheetViews>
    <sheetView topLeftCell="I18" workbookViewId="0">
      <selection activeCell="V55" sqref="V55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6" max="6" width="10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2" max="22" width="18.54296875" customWidth="1"/>
    <col min="23" max="23" width="15.1796875" bestFit="1" customWidth="1"/>
    <col min="24" max="24" width="15.1796875" customWidth="1"/>
    <col min="25" max="25" width="13.81640625" bestFit="1" customWidth="1"/>
    <col min="26" max="26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91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104</v>
      </c>
      <c r="C4" s="33"/>
      <c r="D4" s="33"/>
      <c r="E4" s="33"/>
      <c r="I4" s="33" t="s">
        <v>105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49600</v>
      </c>
      <c r="I5" t="s">
        <v>13</v>
      </c>
      <c r="J5" s="35"/>
      <c r="K5" s="35"/>
      <c r="L5" s="1">
        <f>'Sept 2025 '!L8</f>
        <v>824758.53416666668</v>
      </c>
    </row>
    <row r="6" spans="2:13" x14ac:dyDescent="0.35">
      <c r="B6" t="s">
        <v>3</v>
      </c>
      <c r="C6" s="35">
        <v>35384.949999999997</v>
      </c>
      <c r="D6" s="35"/>
      <c r="I6" t="s">
        <v>14</v>
      </c>
      <c r="J6" s="35"/>
      <c r="K6" s="35"/>
      <c r="L6" s="1">
        <v>0</v>
      </c>
    </row>
    <row r="7" spans="2:13" x14ac:dyDescent="0.35">
      <c r="B7" t="s">
        <v>4</v>
      </c>
      <c r="C7" s="35"/>
      <c r="D7" s="35"/>
      <c r="E7" s="2">
        <f>C6</f>
        <v>35384.949999999997</v>
      </c>
      <c r="I7" t="s">
        <v>11</v>
      </c>
      <c r="J7" s="35"/>
      <c r="K7" s="35"/>
      <c r="L7" s="1">
        <f>E18</f>
        <v>-26388.285833333335</v>
      </c>
    </row>
    <row r="8" spans="2:13" ht="17.5" x14ac:dyDescent="0.35">
      <c r="B8" t="s">
        <v>6</v>
      </c>
      <c r="C8" s="35"/>
      <c r="D8" s="35"/>
      <c r="E8">
        <f>E5-C6</f>
        <v>14215.050000000003</v>
      </c>
      <c r="I8" s="4" t="s">
        <v>106</v>
      </c>
      <c r="J8" s="35"/>
      <c r="K8" s="35"/>
      <c r="L8" s="5">
        <f>SUM(L5:L7)</f>
        <v>798370.24833333329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15000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102</v>
      </c>
      <c r="C12" s="34">
        <f>(20802.71/12)+(29040/12)</f>
        <v>4153.5591666666669</v>
      </c>
      <c r="D12" s="34"/>
      <c r="J12" s="1"/>
    </row>
    <row r="13" spans="2:13" x14ac:dyDescent="0.35">
      <c r="B13" t="s">
        <v>101</v>
      </c>
      <c r="C13" s="34">
        <f>25692.72-2275.79-7111.11</f>
        <v>16305.82</v>
      </c>
      <c r="D13" s="35"/>
    </row>
    <row r="14" spans="2:13" x14ac:dyDescent="0.35">
      <c r="B14" t="s">
        <v>48</v>
      </c>
      <c r="C14" s="34">
        <f>11650/12+1300</f>
        <v>2270.8333333333335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46063.545833333337</v>
      </c>
    </row>
    <row r="16" spans="2:13" ht="15.5" x14ac:dyDescent="0.35">
      <c r="B16" s="14" t="s">
        <v>11</v>
      </c>
      <c r="C16" s="35"/>
      <c r="D16" s="35"/>
      <c r="E16" s="13">
        <f>E8-E15</f>
        <v>-31848.495833333334</v>
      </c>
    </row>
    <row r="17" spans="1:19" ht="18.5" x14ac:dyDescent="0.45">
      <c r="B17" t="s">
        <v>46</v>
      </c>
      <c r="C17" s="35">
        <f>2610.21+2850</f>
        <v>5460.21</v>
      </c>
      <c r="D17" s="35"/>
      <c r="E17">
        <f>C17</f>
        <v>5460.21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100</v>
      </c>
      <c r="E18" s="3">
        <f>E16+E17</f>
        <v>-26388.285833333335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M19" s="33" t="s">
        <v>107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604554.16833333333</v>
      </c>
    </row>
    <row r="22" spans="1:19" ht="15.5" x14ac:dyDescent="0.35">
      <c r="M22" s="8" t="s">
        <v>17</v>
      </c>
      <c r="Q22" t="s">
        <v>25</v>
      </c>
      <c r="R22" s="1">
        <f>L5+L6</f>
        <v>824758.53416666668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(N23/48)*22</f>
        <v>115681.25708333333</v>
      </c>
      <c r="P23" s="1">
        <f>N23-O23</f>
        <v>136714.21291666667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(N24/18)*18</f>
        <v>26000</v>
      </c>
      <c r="P24" s="1">
        <f>N24-O24</f>
        <v>0</v>
      </c>
      <c r="Q24" t="s">
        <v>44</v>
      </c>
      <c r="R24" s="1">
        <f>-386036.46-13500-27500-37359.67-88819.54+33613.94-29972.5+87532.4+56880.81+36807.67+9938.26+10872.6+15048.45-17021.9-80209.31+88728.66+107539.05+32453.45-805.56+43896.68+11717.01-39847.93-7772.19</f>
        <v>-193816.07999999996</v>
      </c>
    </row>
    <row r="25" spans="1:19" x14ac:dyDescent="0.35">
      <c r="M25" t="s">
        <v>58</v>
      </c>
      <c r="N25">
        <f>11650</f>
        <v>11650</v>
      </c>
      <c r="O25" s="18">
        <f>(N25/12)*10</f>
        <v>9708.3333333333339</v>
      </c>
      <c r="P25" s="1">
        <f>N25-O25</f>
        <v>1941.6666666666661</v>
      </c>
      <c r="Q25" t="s">
        <v>45</v>
      </c>
      <c r="R25" s="1">
        <f>L7</f>
        <v>-26388.285833333335</v>
      </c>
    </row>
    <row r="26" spans="1:19" ht="15.5" x14ac:dyDescent="0.35">
      <c r="M26" s="4" t="s">
        <v>32</v>
      </c>
      <c r="N26">
        <v>40964.300000000003</v>
      </c>
      <c r="O26" s="18">
        <f>(N26/18)*18</f>
        <v>40964.300000000003</v>
      </c>
      <c r="P26" s="1">
        <f>N26-O26</f>
        <v>0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(N28/48)*22</f>
        <v>13291.666666666666</v>
      </c>
      <c r="P28" s="1">
        <f>N28-O28</f>
        <v>15708.333333333334</v>
      </c>
    </row>
    <row r="29" spans="1:19" x14ac:dyDescent="0.35">
      <c r="M29" t="s">
        <v>36</v>
      </c>
      <c r="N29">
        <f>2500+750+1200+2000+15000+25000</f>
        <v>46450</v>
      </c>
      <c r="O29" s="18">
        <f>(N29/24)*22</f>
        <v>42579.166666666672</v>
      </c>
      <c r="P29" s="1">
        <f t="shared" ref="P29:P31" si="0">N29-O29</f>
        <v>3870.8333333333285</v>
      </c>
    </row>
    <row r="30" spans="1:19" x14ac:dyDescent="0.35">
      <c r="M30" t="s">
        <v>37</v>
      </c>
      <c r="N30">
        <v>128000</v>
      </c>
      <c r="O30" s="18">
        <f>(N30/18)*18</f>
        <v>128000</v>
      </c>
      <c r="P30" s="1">
        <f t="shared" si="0"/>
        <v>0</v>
      </c>
    </row>
    <row r="31" spans="1:19" x14ac:dyDescent="0.35">
      <c r="M31" t="s">
        <v>32</v>
      </c>
      <c r="N31">
        <f>(5000+6000+9695)</f>
        <v>20695</v>
      </c>
      <c r="O31" s="18">
        <f>(6000/12)*12+(9695/12)*8</f>
        <v>12463.333333333332</v>
      </c>
      <c r="P31" s="1">
        <f t="shared" si="0"/>
        <v>8231.6666666666679</v>
      </c>
    </row>
    <row r="32" spans="1:19" ht="15.5" x14ac:dyDescent="0.35">
      <c r="M32" s="8" t="s">
        <v>39</v>
      </c>
      <c r="O32" s="17"/>
    </row>
    <row r="33" spans="13:24" ht="15.5" x14ac:dyDescent="0.35">
      <c r="M33" s="4" t="s">
        <v>40</v>
      </c>
      <c r="N33">
        <v>200000</v>
      </c>
      <c r="O33" s="17">
        <f>8333.33*23</f>
        <v>191666.59</v>
      </c>
      <c r="P33">
        <f>N33-O33</f>
        <v>8333.4100000000035</v>
      </c>
    </row>
    <row r="34" spans="13:24" ht="15.5" x14ac:dyDescent="0.35">
      <c r="M34" s="4" t="s">
        <v>41</v>
      </c>
      <c r="N34">
        <f>10000+6000</f>
        <v>16000</v>
      </c>
      <c r="O34" s="17"/>
      <c r="P34">
        <f>N34</f>
        <v>16000</v>
      </c>
    </row>
    <row r="35" spans="13:24" ht="15.5" x14ac:dyDescent="0.35">
      <c r="M35" s="4"/>
      <c r="O35" s="17"/>
    </row>
    <row r="36" spans="13:24" ht="18.5" x14ac:dyDescent="0.45">
      <c r="M36" s="6" t="s">
        <v>18</v>
      </c>
      <c r="O36" s="17"/>
      <c r="Q36" s="6" t="s">
        <v>26</v>
      </c>
    </row>
    <row r="37" spans="13:24" x14ac:dyDescent="0.35">
      <c r="M37" t="s">
        <v>19</v>
      </c>
      <c r="N37" s="15">
        <f>200290.05-11935.05</f>
        <v>188355</v>
      </c>
      <c r="O37" s="17"/>
      <c r="P37" s="15">
        <f>N37</f>
        <v>188355</v>
      </c>
      <c r="Q37" t="s">
        <v>27</v>
      </c>
      <c r="R37">
        <v>0</v>
      </c>
    </row>
    <row r="38" spans="13:24" x14ac:dyDescent="0.35">
      <c r="M38" s="7" t="s">
        <v>20</v>
      </c>
      <c r="O38" s="17"/>
      <c r="P38">
        <f>N41+N39+N40</f>
        <v>225399.05</v>
      </c>
      <c r="Q38" t="s">
        <v>28</v>
      </c>
      <c r="R38">
        <v>0</v>
      </c>
    </row>
    <row r="39" spans="13:24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4" x14ac:dyDescent="0.35">
      <c r="M40" t="s">
        <v>59</v>
      </c>
      <c r="N40">
        <v>11935.05</v>
      </c>
      <c r="O40" s="17"/>
    </row>
    <row r="41" spans="13:24" x14ac:dyDescent="0.35">
      <c r="M41" t="s">
        <v>22</v>
      </c>
      <c r="N41">
        <v>212095</v>
      </c>
      <c r="O41" s="17"/>
    </row>
    <row r="42" spans="13:24" ht="18.5" x14ac:dyDescent="0.45">
      <c r="M42" s="6" t="s">
        <v>51</v>
      </c>
      <c r="N42" s="11">
        <f>SUM(N23:N39)</f>
        <v>960878.77</v>
      </c>
      <c r="O42" s="12">
        <f>SUM(O23:O33)</f>
        <v>580354.64708333334</v>
      </c>
      <c r="P42" s="10">
        <f>SUM(P23:P38)</f>
        <v>604554.1729166666</v>
      </c>
      <c r="Q42" s="6" t="s">
        <v>50</v>
      </c>
      <c r="R42" s="6"/>
      <c r="S42" s="10">
        <f>S21</f>
        <v>604554.16833333333</v>
      </c>
      <c r="W42" s="1">
        <f>P42-S42</f>
        <v>4.5833332696929574E-3</v>
      </c>
      <c r="X42" s="1"/>
    </row>
    <row r="46" spans="13:24" x14ac:dyDescent="0.35">
      <c r="S46" s="1">
        <f>P42-S42</f>
        <v>4.5833332696929574E-3</v>
      </c>
    </row>
    <row r="49" spans="16:26" x14ac:dyDescent="0.35">
      <c r="P49" s="1">
        <f>SUM(O23:O31)</f>
        <v>388688.05708333332</v>
      </c>
      <c r="X49">
        <f>20*11.51</f>
        <v>230.2</v>
      </c>
    </row>
    <row r="50" spans="16:26" x14ac:dyDescent="0.35">
      <c r="P50">
        <f>P49/8</f>
        <v>48586.007135416665</v>
      </c>
      <c r="X50">
        <f>X49*12</f>
        <v>2762.3999999999996</v>
      </c>
    </row>
    <row r="51" spans="16:26" x14ac:dyDescent="0.35">
      <c r="X51">
        <f>1450*14</f>
        <v>20300</v>
      </c>
    </row>
    <row r="52" spans="16:26" x14ac:dyDescent="0.35">
      <c r="X52">
        <f>800+500</f>
        <v>1300</v>
      </c>
    </row>
    <row r="53" spans="16:26" x14ac:dyDescent="0.35">
      <c r="X53">
        <f>X50+X51+X52</f>
        <v>24362.400000000001</v>
      </c>
    </row>
    <row r="54" spans="16:26" x14ac:dyDescent="0.35">
      <c r="X54">
        <f>84.88*0.75</f>
        <v>63.66</v>
      </c>
    </row>
    <row r="55" spans="16:26" x14ac:dyDescent="0.35">
      <c r="X55">
        <f>X54*12</f>
        <v>763.92</v>
      </c>
    </row>
    <row r="56" spans="16:26" x14ac:dyDescent="0.35">
      <c r="X56">
        <f>X53+X55</f>
        <v>25126.32</v>
      </c>
    </row>
    <row r="58" spans="16:26" ht="15" thickBot="1" x14ac:dyDescent="0.4"/>
    <row r="59" spans="16:26" ht="15" thickBot="1" x14ac:dyDescent="0.4">
      <c r="W59" s="28" t="s">
        <v>110</v>
      </c>
      <c r="X59" s="29"/>
      <c r="Y59" s="29"/>
      <c r="Z59" s="30"/>
    </row>
    <row r="60" spans="16:26" ht="15" thickBot="1" x14ac:dyDescent="0.4">
      <c r="W60" s="19" t="s">
        <v>67</v>
      </c>
      <c r="X60" s="27" t="s">
        <v>108</v>
      </c>
      <c r="Y60" s="20" t="s">
        <v>109</v>
      </c>
      <c r="Z60" s="20" t="s">
        <v>61</v>
      </c>
    </row>
    <row r="61" spans="16:26" ht="15" thickBot="1" x14ac:dyDescent="0.4">
      <c r="W61" s="19" t="s">
        <v>62</v>
      </c>
      <c r="X61" s="27">
        <v>817445</v>
      </c>
      <c r="Y61" s="21">
        <f>L8*Z61</f>
        <v>602370.35236749996</v>
      </c>
      <c r="Z61" s="22">
        <f>75.45%</f>
        <v>0.75450000000000006</v>
      </c>
    </row>
    <row r="62" spans="16:26" ht="15" thickBot="1" x14ac:dyDescent="0.4">
      <c r="W62" s="19" t="s">
        <v>63</v>
      </c>
      <c r="X62" s="27">
        <v>151038</v>
      </c>
      <c r="Y62" s="21">
        <f>L8*Z62</f>
        <v>111292.81261766666</v>
      </c>
      <c r="Z62" s="22">
        <f>13.94%</f>
        <v>0.1394</v>
      </c>
    </row>
    <row r="63" spans="16:26" ht="15" thickBot="1" x14ac:dyDescent="0.4">
      <c r="W63" s="19" t="s">
        <v>64</v>
      </c>
      <c r="X63" s="27">
        <v>140000</v>
      </c>
      <c r="Y63" s="21">
        <f>L8*Z63</f>
        <v>84707.083348166663</v>
      </c>
      <c r="Z63" s="22">
        <f>10.61%</f>
        <v>0.1061</v>
      </c>
    </row>
    <row r="64" spans="16:26" ht="15" thickBot="1" x14ac:dyDescent="0.4">
      <c r="W64" s="19" t="s">
        <v>65</v>
      </c>
      <c r="X64" s="27">
        <f>X61+X62+X63</f>
        <v>1108483</v>
      </c>
      <c r="Y64" s="21">
        <f>Y61+Y62+Y63</f>
        <v>798370.24833333329</v>
      </c>
      <c r="Z64" s="22">
        <f>Z61+Z62+Z63</f>
        <v>1</v>
      </c>
    </row>
    <row r="71" spans="13:15" x14ac:dyDescent="0.35">
      <c r="M71" s="36"/>
      <c r="N71" s="36"/>
      <c r="O71" s="36"/>
    </row>
    <row r="72" spans="13:15" x14ac:dyDescent="0.35">
      <c r="M72" s="23"/>
      <c r="N72" s="24"/>
      <c r="O72" s="24"/>
    </row>
    <row r="73" spans="13:15" x14ac:dyDescent="0.35">
      <c r="M73" s="23"/>
      <c r="N73" s="25"/>
      <c r="O73" s="26"/>
    </row>
    <row r="74" spans="13:15" x14ac:dyDescent="0.35">
      <c r="M74" s="23"/>
      <c r="N74" s="25"/>
      <c r="O74" s="26"/>
    </row>
    <row r="75" spans="13:15" x14ac:dyDescent="0.35">
      <c r="M75" s="23"/>
      <c r="N75" s="25"/>
      <c r="O75" s="26"/>
    </row>
    <row r="76" spans="13:15" x14ac:dyDescent="0.35">
      <c r="M76" s="23"/>
      <c r="N76" s="25"/>
      <c r="O76" s="26"/>
    </row>
  </sheetData>
  <mergeCells count="28">
    <mergeCell ref="M18:S18"/>
    <mergeCell ref="M19:S19"/>
    <mergeCell ref="W59:Z59"/>
    <mergeCell ref="M71:O71"/>
    <mergeCell ref="C13:D13"/>
    <mergeCell ref="C14:D14"/>
    <mergeCell ref="C15:D15"/>
    <mergeCell ref="C16:D16"/>
    <mergeCell ref="C17:D17"/>
    <mergeCell ref="M17:S17"/>
    <mergeCell ref="C12:D12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C10:D10"/>
    <mergeCell ref="C11:D11"/>
    <mergeCell ref="B2:E2"/>
    <mergeCell ref="I2:L2"/>
    <mergeCell ref="B3:E3"/>
    <mergeCell ref="I3:L3"/>
    <mergeCell ref="B4:E4"/>
    <mergeCell ref="I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1993-BDDB-46A9-BC5F-3449EEFC8E04}">
  <dimension ref="A2:Z78"/>
  <sheetViews>
    <sheetView topLeftCell="A60" workbookViewId="0">
      <selection activeCell="Q79" sqref="Q79"/>
    </sheetView>
  </sheetViews>
  <sheetFormatPr baseColWidth="10" defaultColWidth="8.7265625" defaultRowHeight="14.5" x14ac:dyDescent="0.35"/>
  <cols>
    <col min="2" max="2" width="33.08984375" bestFit="1" customWidth="1"/>
    <col min="5" max="5" width="12.36328125" bestFit="1" customWidth="1"/>
    <col min="6" max="6" width="10" bestFit="1" customWidth="1"/>
    <col min="9" max="9" width="25.08984375" bestFit="1" customWidth="1"/>
    <col min="10" max="10" width="11.36328125" bestFit="1" customWidth="1"/>
    <col min="12" max="12" width="15.08984375" bestFit="1" customWidth="1"/>
    <col min="13" max="13" width="29.6328125" bestFit="1" customWidth="1"/>
    <col min="14" max="14" width="10" bestFit="1" customWidth="1"/>
    <col min="15" max="15" width="11.6328125" customWidth="1"/>
    <col min="16" max="16" width="10.36328125" customWidth="1"/>
    <col min="17" max="17" width="19.6328125" bestFit="1" customWidth="1"/>
    <col min="18" max="18" width="12" bestFit="1" customWidth="1"/>
    <col min="19" max="19" width="12.90625" bestFit="1" customWidth="1"/>
    <col min="21" max="21" width="18.7265625" customWidth="1"/>
    <col min="22" max="22" width="18.54296875" customWidth="1"/>
    <col min="23" max="23" width="15.1796875" bestFit="1" customWidth="1"/>
    <col min="24" max="24" width="15.1796875" customWidth="1"/>
    <col min="25" max="25" width="13.81640625" bestFit="1" customWidth="1"/>
    <col min="26" max="26" width="16.6328125" customWidth="1"/>
  </cols>
  <sheetData>
    <row r="2" spans="2:13" ht="18.5" x14ac:dyDescent="0.45">
      <c r="B2" s="31" t="s">
        <v>0</v>
      </c>
      <c r="C2" s="31"/>
      <c r="D2" s="31"/>
      <c r="E2" s="31"/>
      <c r="I2" s="31" t="s">
        <v>0</v>
      </c>
      <c r="J2" s="31"/>
      <c r="K2" s="31"/>
      <c r="L2" s="31"/>
    </row>
    <row r="3" spans="2:13" ht="18.5" x14ac:dyDescent="0.45">
      <c r="B3" s="32" t="s">
        <v>91</v>
      </c>
      <c r="C3" s="32"/>
      <c r="D3" s="32"/>
      <c r="E3" s="32"/>
      <c r="I3" s="32" t="s">
        <v>12</v>
      </c>
      <c r="J3" s="32"/>
      <c r="K3" s="32"/>
      <c r="L3" s="32"/>
    </row>
    <row r="4" spans="2:13" x14ac:dyDescent="0.35">
      <c r="B4" s="33" t="s">
        <v>111</v>
      </c>
      <c r="C4" s="33"/>
      <c r="D4" s="33"/>
      <c r="E4" s="33"/>
      <c r="I4" s="33" t="s">
        <v>112</v>
      </c>
      <c r="J4" s="33"/>
      <c r="K4" s="33"/>
      <c r="L4" s="33"/>
    </row>
    <row r="5" spans="2:13" x14ac:dyDescent="0.35">
      <c r="B5" t="s">
        <v>2</v>
      </c>
      <c r="C5" s="35"/>
      <c r="D5" s="35"/>
      <c r="E5">
        <v>24600</v>
      </c>
      <c r="I5" t="s">
        <v>13</v>
      </c>
      <c r="J5" s="35"/>
      <c r="K5" s="35"/>
      <c r="L5" s="1">
        <v>798370.25</v>
      </c>
    </row>
    <row r="6" spans="2:13" x14ac:dyDescent="0.35">
      <c r="B6" t="s">
        <v>3</v>
      </c>
      <c r="C6" s="35">
        <v>19034.599999999999</v>
      </c>
      <c r="D6" s="35"/>
      <c r="I6" t="s">
        <v>14</v>
      </c>
      <c r="J6" s="35"/>
      <c r="K6" s="35"/>
      <c r="L6" s="1">
        <v>0</v>
      </c>
    </row>
    <row r="7" spans="2:13" x14ac:dyDescent="0.35">
      <c r="B7" t="s">
        <v>4</v>
      </c>
      <c r="C7" s="35"/>
      <c r="D7" s="35"/>
      <c r="E7" s="2">
        <f>C6</f>
        <v>19034.599999999999</v>
      </c>
      <c r="I7" t="s">
        <v>11</v>
      </c>
      <c r="J7" s="35"/>
      <c r="K7" s="35"/>
      <c r="L7" s="1">
        <f>E18</f>
        <v>24249.104166666664</v>
      </c>
    </row>
    <row r="8" spans="2:13" ht="17.5" x14ac:dyDescent="0.35">
      <c r="B8" t="s">
        <v>6</v>
      </c>
      <c r="C8" s="35"/>
      <c r="D8" s="35"/>
      <c r="E8">
        <f>E5-C6</f>
        <v>5565.4000000000015</v>
      </c>
      <c r="I8" s="4" t="s">
        <v>115</v>
      </c>
      <c r="J8" s="35"/>
      <c r="K8" s="35"/>
      <c r="L8" s="5">
        <f>SUM(L5:L7)</f>
        <v>822619.35416666663</v>
      </c>
    </row>
    <row r="9" spans="2:13" x14ac:dyDescent="0.35">
      <c r="B9" t="s">
        <v>9</v>
      </c>
      <c r="C9" s="35"/>
      <c r="D9" s="35"/>
      <c r="M9" s="1"/>
    </row>
    <row r="10" spans="2:13" x14ac:dyDescent="0.35">
      <c r="B10" t="s">
        <v>5</v>
      </c>
      <c r="C10" s="35">
        <v>15000</v>
      </c>
      <c r="D10" s="35"/>
      <c r="M10" s="1"/>
    </row>
    <row r="11" spans="2:13" x14ac:dyDescent="0.35">
      <c r="B11" t="s">
        <v>7</v>
      </c>
      <c r="C11" s="34">
        <f>'[1]Tableau d''amortissement loyer'!$D$4</f>
        <v>8333.3333333333339</v>
      </c>
      <c r="D11" s="35"/>
      <c r="M11" s="1"/>
    </row>
    <row r="12" spans="2:13" x14ac:dyDescent="0.35">
      <c r="B12" t="s">
        <v>102</v>
      </c>
      <c r="C12" s="34">
        <f>(20802.71/12)+(29040/12)</f>
        <v>4153.5591666666669</v>
      </c>
      <c r="D12" s="34"/>
      <c r="J12" s="1"/>
    </row>
    <row r="13" spans="2:13" x14ac:dyDescent="0.35">
      <c r="B13" t="s">
        <v>101</v>
      </c>
      <c r="C13" s="34">
        <f>25692.72-2275.79-7111.11</f>
        <v>16305.82</v>
      </c>
      <c r="D13" s="35"/>
    </row>
    <row r="14" spans="2:13" x14ac:dyDescent="0.35">
      <c r="B14" t="s">
        <v>48</v>
      </c>
      <c r="C14" s="34">
        <f>11650/12</f>
        <v>970.83333333333337</v>
      </c>
      <c r="D14" s="34"/>
      <c r="I14" t="s">
        <v>53</v>
      </c>
    </row>
    <row r="15" spans="2:13" x14ac:dyDescent="0.35">
      <c r="B15" t="s">
        <v>10</v>
      </c>
      <c r="C15" s="35"/>
      <c r="D15" s="35"/>
      <c r="E15" s="1">
        <f>SUM(C10:D14)</f>
        <v>44763.545833333337</v>
      </c>
    </row>
    <row r="16" spans="2:13" ht="15.5" x14ac:dyDescent="0.35">
      <c r="B16" s="14" t="s">
        <v>11</v>
      </c>
      <c r="C16" s="35"/>
      <c r="D16" s="35"/>
      <c r="E16" s="13">
        <f>E8-E15</f>
        <v>-39198.145833333336</v>
      </c>
    </row>
    <row r="17" spans="1:19" ht="18.5" x14ac:dyDescent="0.45">
      <c r="B17" t="s">
        <v>46</v>
      </c>
      <c r="C17" s="35">
        <f>1697.25+61750</f>
        <v>63447.25</v>
      </c>
      <c r="D17" s="35"/>
      <c r="E17">
        <f>C17</f>
        <v>63447.25</v>
      </c>
      <c r="M17" s="31"/>
      <c r="N17" s="31"/>
      <c r="O17" s="31"/>
      <c r="P17" s="31"/>
      <c r="Q17" s="31"/>
      <c r="R17" s="31"/>
      <c r="S17" s="31"/>
    </row>
    <row r="18" spans="1:19" ht="18.5" x14ac:dyDescent="0.45">
      <c r="B18" s="6" t="s">
        <v>100</v>
      </c>
      <c r="E18" s="3">
        <f>E16+E17</f>
        <v>24249.104166666664</v>
      </c>
      <c r="M18" s="32" t="s">
        <v>15</v>
      </c>
      <c r="N18" s="32"/>
      <c r="O18" s="32"/>
      <c r="P18" s="32"/>
      <c r="Q18" s="32"/>
      <c r="R18" s="32"/>
      <c r="S18" s="32"/>
    </row>
    <row r="19" spans="1:19" x14ac:dyDescent="0.35">
      <c r="M19" s="33" t="s">
        <v>113</v>
      </c>
      <c r="N19" s="33"/>
      <c r="O19" s="33"/>
      <c r="P19" s="33"/>
      <c r="Q19" s="33"/>
      <c r="R19" s="33"/>
      <c r="S19" s="33"/>
    </row>
    <row r="20" spans="1:19" ht="18.5" x14ac:dyDescent="0.45">
      <c r="M20" s="6" t="s">
        <v>30</v>
      </c>
      <c r="N20" s="16" t="s">
        <v>38</v>
      </c>
      <c r="O20" s="7" t="s">
        <v>52</v>
      </c>
      <c r="P20" s="16" t="s">
        <v>49</v>
      </c>
      <c r="Q20" s="8" t="s">
        <v>31</v>
      </c>
    </row>
    <row r="21" spans="1:19" ht="18.5" x14ac:dyDescent="0.45">
      <c r="M21" s="6" t="s">
        <v>23</v>
      </c>
      <c r="Q21" s="6" t="s">
        <v>24</v>
      </c>
      <c r="R21" s="6"/>
      <c r="S21" s="1">
        <f>+R22+R25+R24</f>
        <v>648887.03416666668</v>
      </c>
    </row>
    <row r="22" spans="1:19" ht="15.5" x14ac:dyDescent="0.35">
      <c r="M22" s="8" t="s">
        <v>17</v>
      </c>
      <c r="Q22" t="s">
        <v>25</v>
      </c>
      <c r="R22" s="1">
        <f>L5+L6</f>
        <v>798370.25</v>
      </c>
    </row>
    <row r="23" spans="1:19" ht="15.5" x14ac:dyDescent="0.35">
      <c r="A23" t="s">
        <v>70</v>
      </c>
      <c r="M23" s="4" t="s">
        <v>34</v>
      </c>
      <c r="N23">
        <f>1250+10000+10518+1250+5500+20000+82292.65+41282.51+80302.31</f>
        <v>252395.47</v>
      </c>
      <c r="O23" s="18">
        <f>(N23/48)*23</f>
        <v>120939.49604166667</v>
      </c>
      <c r="P23" s="1">
        <f>N23-O23</f>
        <v>131455.97395833331</v>
      </c>
      <c r="Q23" t="s">
        <v>43</v>
      </c>
      <c r="R23" s="1">
        <v>0</v>
      </c>
    </row>
    <row r="24" spans="1:19" ht="15.5" x14ac:dyDescent="0.35">
      <c r="M24" s="4" t="s">
        <v>33</v>
      </c>
      <c r="N24">
        <f>15000+11000</f>
        <v>26000</v>
      </c>
      <c r="O24" s="18">
        <f>(N24/18)*18</f>
        <v>26000</v>
      </c>
      <c r="P24" s="1">
        <f>N24-O24</f>
        <v>0</v>
      </c>
      <c r="Q24" t="s">
        <v>44</v>
      </c>
      <c r="R24" s="1">
        <f>-386036.46-13500-27500-37359.67-88819.54+33613.94-29972.5+87532.4+56880.81+36807.67+9938.26+10872.6+15048.45-17021.9-80209.31+88728.66+107539.05+32453.45-805.56+43896.68+11717.01-39847.93-7772.19+20083.76</f>
        <v>-173732.31999999995</v>
      </c>
    </row>
    <row r="25" spans="1:19" x14ac:dyDescent="0.35">
      <c r="M25" t="s">
        <v>58</v>
      </c>
      <c r="N25">
        <f>11650</f>
        <v>11650</v>
      </c>
      <c r="O25" s="18">
        <f>(N25/12)*11</f>
        <v>10679.166666666668</v>
      </c>
      <c r="P25" s="1">
        <f>N25-O25</f>
        <v>970.83333333333212</v>
      </c>
      <c r="Q25" t="s">
        <v>45</v>
      </c>
      <c r="R25" s="1">
        <f>L7</f>
        <v>24249.104166666664</v>
      </c>
    </row>
    <row r="26" spans="1:19" ht="15.5" x14ac:dyDescent="0.35">
      <c r="M26" s="4" t="s">
        <v>32</v>
      </c>
      <c r="N26">
        <v>40964.300000000003</v>
      </c>
      <c r="O26" s="18">
        <f>(N26/18)*18</f>
        <v>40964.300000000003</v>
      </c>
      <c r="P26" s="1">
        <f>N26-O26</f>
        <v>0</v>
      </c>
      <c r="R26" s="1"/>
    </row>
    <row r="27" spans="1:19" ht="15.5" x14ac:dyDescent="0.35">
      <c r="M27" s="8" t="s">
        <v>16</v>
      </c>
      <c r="O27" s="17"/>
      <c r="R27" s="9"/>
    </row>
    <row r="28" spans="1:19" x14ac:dyDescent="0.35">
      <c r="M28" t="s">
        <v>35</v>
      </c>
      <c r="N28">
        <f>20000+9000</f>
        <v>29000</v>
      </c>
      <c r="O28" s="18">
        <f>(N28/48)*23</f>
        <v>13895.833333333332</v>
      </c>
      <c r="P28" s="1">
        <f>N28-O28</f>
        <v>15104.166666666668</v>
      </c>
    </row>
    <row r="29" spans="1:19" x14ac:dyDescent="0.35">
      <c r="M29" t="s">
        <v>36</v>
      </c>
      <c r="N29">
        <f>2500+750+1200+2000+15000+25000</f>
        <v>46450</v>
      </c>
      <c r="O29" s="18">
        <f>(N29/24)*23</f>
        <v>44514.583333333336</v>
      </c>
      <c r="P29" s="1">
        <f t="shared" ref="P29:P31" si="0">N29-O29</f>
        <v>1935.4166666666642</v>
      </c>
    </row>
    <row r="30" spans="1:19" x14ac:dyDescent="0.35">
      <c r="M30" t="s">
        <v>37</v>
      </c>
      <c r="N30">
        <v>128000</v>
      </c>
      <c r="O30" s="18">
        <f>(N30/18)*18</f>
        <v>128000</v>
      </c>
      <c r="P30" s="1">
        <f t="shared" si="0"/>
        <v>0</v>
      </c>
    </row>
    <row r="31" spans="1:19" x14ac:dyDescent="0.35">
      <c r="M31" t="s">
        <v>32</v>
      </c>
      <c r="N31">
        <f>(5000+6000+9695)</f>
        <v>20695</v>
      </c>
      <c r="O31" s="18">
        <f>(6000/12)*12+(9695/12)*9</f>
        <v>13271.25</v>
      </c>
      <c r="P31" s="1">
        <f t="shared" si="0"/>
        <v>7423.75</v>
      </c>
    </row>
    <row r="32" spans="1:19" ht="15.5" x14ac:dyDescent="0.35">
      <c r="M32" s="8" t="s">
        <v>39</v>
      </c>
      <c r="O32" s="17"/>
    </row>
    <row r="33" spans="13:24" ht="15.5" x14ac:dyDescent="0.35">
      <c r="M33" s="4" t="s">
        <v>40</v>
      </c>
      <c r="N33">
        <v>200000</v>
      </c>
      <c r="O33" s="17">
        <f>8333.33*24</f>
        <v>199999.91999999998</v>
      </c>
      <c r="P33">
        <f>N33</f>
        <v>200000</v>
      </c>
    </row>
    <row r="34" spans="13:24" ht="15.5" x14ac:dyDescent="0.35">
      <c r="M34" s="4" t="s">
        <v>41</v>
      </c>
      <c r="N34">
        <f>10000+6000</f>
        <v>16000</v>
      </c>
      <c r="O34" s="17"/>
      <c r="P34">
        <f>N34</f>
        <v>16000</v>
      </c>
    </row>
    <row r="35" spans="13:24" ht="15.5" x14ac:dyDescent="0.35">
      <c r="M35" s="4"/>
      <c r="O35" s="17"/>
    </row>
    <row r="36" spans="13:24" ht="18.5" x14ac:dyDescent="0.45">
      <c r="M36" s="6" t="s">
        <v>18</v>
      </c>
      <c r="O36" s="17"/>
      <c r="Q36" s="6" t="s">
        <v>26</v>
      </c>
    </row>
    <row r="37" spans="13:24" x14ac:dyDescent="0.35">
      <c r="M37" t="s">
        <v>19</v>
      </c>
      <c r="N37" s="15">
        <f>181255.45</f>
        <v>181255.45</v>
      </c>
      <c r="O37" s="17"/>
      <c r="P37" s="15">
        <f>N37</f>
        <v>181255.45</v>
      </c>
      <c r="Q37" t="s">
        <v>27</v>
      </c>
      <c r="R37">
        <v>0</v>
      </c>
    </row>
    <row r="38" spans="13:24" x14ac:dyDescent="0.35">
      <c r="M38" s="7" t="s">
        <v>20</v>
      </c>
      <c r="O38" s="17"/>
      <c r="P38">
        <f>N41+N39+N40</f>
        <v>94741.440000000002</v>
      </c>
      <c r="Q38" t="s">
        <v>28</v>
      </c>
      <c r="R38">
        <v>0</v>
      </c>
    </row>
    <row r="39" spans="13:24" x14ac:dyDescent="0.35">
      <c r="M39" t="s">
        <v>21</v>
      </c>
      <c r="N39">
        <v>1369</v>
      </c>
      <c r="O39" s="17"/>
      <c r="Q39" t="s">
        <v>29</v>
      </c>
      <c r="R39">
        <v>0</v>
      </c>
    </row>
    <row r="40" spans="13:24" x14ac:dyDescent="0.35">
      <c r="M40" t="s">
        <v>59</v>
      </c>
      <c r="N40">
        <v>9927.44</v>
      </c>
      <c r="O40" s="17"/>
    </row>
    <row r="41" spans="13:24" x14ac:dyDescent="0.35">
      <c r="M41" t="s">
        <v>22</v>
      </c>
      <c r="N41">
        <v>83445</v>
      </c>
      <c r="O41" s="17"/>
    </row>
    <row r="42" spans="13:24" ht="18.5" x14ac:dyDescent="0.45">
      <c r="M42" s="6" t="s">
        <v>51</v>
      </c>
      <c r="N42" s="11">
        <f>SUM(N23:N39)</f>
        <v>953779.22</v>
      </c>
      <c r="O42" s="12">
        <f>SUM(O23:O33)</f>
        <v>598264.54937499994</v>
      </c>
      <c r="P42" s="10">
        <f>SUM(P23:P38)</f>
        <v>648887.0306249999</v>
      </c>
      <c r="Q42" s="6" t="s">
        <v>50</v>
      </c>
      <c r="R42" s="6"/>
      <c r="S42" s="10">
        <f>S21</f>
        <v>648887.03416666668</v>
      </c>
      <c r="W42" s="1">
        <f>P42-S42</f>
        <v>-3.5416667815297842E-3</v>
      </c>
      <c r="X42" s="1"/>
    </row>
    <row r="46" spans="13:24" x14ac:dyDescent="0.35">
      <c r="S46" s="1">
        <f>P42-S42</f>
        <v>-3.5416667815297842E-3</v>
      </c>
    </row>
    <row r="49" spans="16:26" x14ac:dyDescent="0.35">
      <c r="P49" s="1">
        <f>SUM(O23:O31)</f>
        <v>398264.62937500002</v>
      </c>
      <c r="X49">
        <f>20*11.51</f>
        <v>230.2</v>
      </c>
    </row>
    <row r="50" spans="16:26" x14ac:dyDescent="0.35">
      <c r="P50">
        <f>P49/8</f>
        <v>49783.078671875002</v>
      </c>
      <c r="X50">
        <f>X49*12</f>
        <v>2762.3999999999996</v>
      </c>
    </row>
    <row r="51" spans="16:26" x14ac:dyDescent="0.35">
      <c r="X51">
        <f>1450*14</f>
        <v>20300</v>
      </c>
    </row>
    <row r="52" spans="16:26" x14ac:dyDescent="0.35">
      <c r="X52">
        <f>800+500</f>
        <v>1300</v>
      </c>
    </row>
    <row r="53" spans="16:26" x14ac:dyDescent="0.35">
      <c r="X53">
        <f>X50+X51+X52</f>
        <v>24362.400000000001</v>
      </c>
    </row>
    <row r="54" spans="16:26" x14ac:dyDescent="0.35">
      <c r="X54">
        <f>84.88*0.75</f>
        <v>63.66</v>
      </c>
    </row>
    <row r="55" spans="16:26" x14ac:dyDescent="0.35">
      <c r="X55">
        <f>X54*12</f>
        <v>763.92</v>
      </c>
    </row>
    <row r="56" spans="16:26" x14ac:dyDescent="0.35">
      <c r="X56">
        <f>X53+X55</f>
        <v>25126.32</v>
      </c>
    </row>
    <row r="58" spans="16:26" ht="15" thickBot="1" x14ac:dyDescent="0.4"/>
    <row r="59" spans="16:26" ht="15" thickBot="1" x14ac:dyDescent="0.4">
      <c r="W59" s="28" t="s">
        <v>114</v>
      </c>
      <c r="X59" s="29"/>
      <c r="Y59" s="29"/>
      <c r="Z59" s="30"/>
    </row>
    <row r="60" spans="16:26" ht="15" thickBot="1" x14ac:dyDescent="0.4">
      <c r="W60" s="19" t="s">
        <v>67</v>
      </c>
      <c r="X60" s="27" t="s">
        <v>108</v>
      </c>
      <c r="Y60" s="20" t="s">
        <v>109</v>
      </c>
      <c r="Z60" s="20" t="s">
        <v>61</v>
      </c>
    </row>
    <row r="61" spans="16:26" ht="15" thickBot="1" x14ac:dyDescent="0.4">
      <c r="W61" s="19" t="s">
        <v>62</v>
      </c>
      <c r="X61" s="27">
        <v>817445</v>
      </c>
      <c r="Y61" s="21">
        <f>L8*Z61</f>
        <v>620666.30271874997</v>
      </c>
      <c r="Z61" s="22">
        <f>75.45%</f>
        <v>0.75450000000000006</v>
      </c>
    </row>
    <row r="62" spans="16:26" ht="15" thickBot="1" x14ac:dyDescent="0.4">
      <c r="W62" s="19" t="s">
        <v>63</v>
      </c>
      <c r="X62" s="27">
        <v>151038</v>
      </c>
      <c r="Y62" s="21">
        <f>L8*Z62</f>
        <v>114673.13797083333</v>
      </c>
      <c r="Z62" s="22">
        <f>13.94%</f>
        <v>0.1394</v>
      </c>
    </row>
    <row r="63" spans="16:26" ht="15" thickBot="1" x14ac:dyDescent="0.4">
      <c r="W63" s="19" t="s">
        <v>64</v>
      </c>
      <c r="X63" s="27">
        <v>140000</v>
      </c>
      <c r="Y63" s="21">
        <f>L8*Z63</f>
        <v>87279.913477083333</v>
      </c>
      <c r="Z63" s="22">
        <f>10.61%</f>
        <v>0.1061</v>
      </c>
    </row>
    <row r="64" spans="16:26" ht="15" thickBot="1" x14ac:dyDescent="0.4">
      <c r="W64" s="19" t="s">
        <v>65</v>
      </c>
      <c r="X64" s="27">
        <f>X61+X62+X63</f>
        <v>1108483</v>
      </c>
      <c r="Y64" s="21">
        <f>Y61+Y62+Y63</f>
        <v>822619.35416666663</v>
      </c>
      <c r="Z64" s="22">
        <f>Z61+Z62+Z63</f>
        <v>1</v>
      </c>
    </row>
    <row r="68" spans="13:24" ht="15" thickBot="1" x14ac:dyDescent="0.4"/>
    <row r="69" spans="13:24" ht="15" thickBot="1" x14ac:dyDescent="0.4">
      <c r="U69" s="28" t="s">
        <v>114</v>
      </c>
      <c r="V69" s="29"/>
      <c r="W69" s="29"/>
      <c r="X69" s="30"/>
    </row>
    <row r="70" spans="13:24" ht="15" thickBot="1" x14ac:dyDescent="0.4">
      <c r="U70" s="19" t="s">
        <v>67</v>
      </c>
      <c r="V70" s="27" t="s">
        <v>108</v>
      </c>
      <c r="W70" s="20" t="s">
        <v>109</v>
      </c>
      <c r="X70" s="20" t="s">
        <v>61</v>
      </c>
    </row>
    <row r="71" spans="13:24" ht="15" thickBot="1" x14ac:dyDescent="0.4">
      <c r="M71" s="36"/>
      <c r="N71" s="36"/>
      <c r="O71" s="36"/>
      <c r="U71" s="19" t="s">
        <v>62</v>
      </c>
      <c r="V71" s="27">
        <v>817445</v>
      </c>
      <c r="W71" s="21">
        <f>620666</f>
        <v>620666</v>
      </c>
      <c r="X71" s="22">
        <f>W71/W75</f>
        <v>0.58409081712259991</v>
      </c>
    </row>
    <row r="72" spans="13:24" ht="15" thickBot="1" x14ac:dyDescent="0.4">
      <c r="M72" s="23"/>
      <c r="N72" s="24"/>
      <c r="O72" s="24"/>
      <c r="U72" s="19" t="s">
        <v>63</v>
      </c>
      <c r="V72" s="27">
        <v>151038</v>
      </c>
      <c r="W72" s="21">
        <f>114673+40000</f>
        <v>154673</v>
      </c>
      <c r="X72" s="22">
        <f>W72/W75</f>
        <v>0.1455582857072949</v>
      </c>
    </row>
    <row r="73" spans="13:24" ht="15" thickBot="1" x14ac:dyDescent="0.4">
      <c r="M73" s="23"/>
      <c r="N73" s="25"/>
      <c r="O73" s="26"/>
      <c r="U73" s="19" t="s">
        <v>64</v>
      </c>
      <c r="V73" s="27">
        <v>140000</v>
      </c>
      <c r="W73" s="21">
        <v>87280</v>
      </c>
      <c r="X73" s="22">
        <f>W73/W75</f>
        <v>8.2136683044440204E-2</v>
      </c>
    </row>
    <row r="74" spans="13:24" ht="15" thickBot="1" x14ac:dyDescent="0.4">
      <c r="M74" s="23"/>
      <c r="N74" s="25"/>
      <c r="O74" s="26"/>
      <c r="U74" s="19"/>
      <c r="V74" s="27">
        <v>200000</v>
      </c>
      <c r="W74" s="21">
        <v>200000</v>
      </c>
      <c r="X74" s="22">
        <f>W74/W75</f>
        <v>0.188214214125665</v>
      </c>
    </row>
    <row r="75" spans="13:24" ht="15" thickBot="1" x14ac:dyDescent="0.4">
      <c r="M75" s="23"/>
      <c r="N75" s="25"/>
      <c r="O75" s="26"/>
      <c r="U75" s="19" t="s">
        <v>65</v>
      </c>
      <c r="V75" s="27">
        <f>V71+V72+V73</f>
        <v>1108483</v>
      </c>
      <c r="W75" s="21">
        <f>SUM(W71:W74)</f>
        <v>1062619</v>
      </c>
      <c r="X75" s="22">
        <f>X71+X72+X73+X74</f>
        <v>1</v>
      </c>
    </row>
    <row r="76" spans="13:24" x14ac:dyDescent="0.35">
      <c r="M76" s="23"/>
      <c r="N76" s="25"/>
      <c r="O76" s="26"/>
    </row>
    <row r="77" spans="13:24" x14ac:dyDescent="0.35">
      <c r="M77" s="23"/>
      <c r="N77" s="25"/>
      <c r="O77" s="26"/>
    </row>
    <row r="78" spans="13:24" x14ac:dyDescent="0.35">
      <c r="Q78">
        <f>7500*12</f>
        <v>90000</v>
      </c>
    </row>
  </sheetData>
  <mergeCells count="29">
    <mergeCell ref="B2:E2"/>
    <mergeCell ref="I2:L2"/>
    <mergeCell ref="B3:E3"/>
    <mergeCell ref="I3:L3"/>
    <mergeCell ref="B4:E4"/>
    <mergeCell ref="I4:L4"/>
    <mergeCell ref="C5:D5"/>
    <mergeCell ref="J5:K5"/>
    <mergeCell ref="C6:D6"/>
    <mergeCell ref="J6:K6"/>
    <mergeCell ref="C7:D7"/>
    <mergeCell ref="J7:K7"/>
    <mergeCell ref="M17:S17"/>
    <mergeCell ref="C8:D8"/>
    <mergeCell ref="J8:K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M18:S18"/>
    <mergeCell ref="M19:S19"/>
    <mergeCell ref="W59:Z59"/>
    <mergeCell ref="M71:O71"/>
    <mergeCell ref="U69:X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Jan 2025</vt:lpstr>
      <vt:lpstr>Fevrier 2025</vt:lpstr>
      <vt:lpstr>Mars 2025 </vt:lpstr>
      <vt:lpstr>Avril 2025</vt:lpstr>
      <vt:lpstr>Mai 2025</vt:lpstr>
      <vt:lpstr>Juin 2025</vt:lpstr>
      <vt:lpstr>Juill 2025</vt:lpstr>
      <vt:lpstr>Aout 2025</vt:lpstr>
      <vt:lpstr>Sept 2025 </vt:lpstr>
      <vt:lpstr>OCT 2025</vt:lpstr>
      <vt:lpstr>NOV 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Rogeste j</dc:creator>
  <cp:lastModifiedBy>Luckner JEAN</cp:lastModifiedBy>
  <dcterms:created xsi:type="dcterms:W3CDTF">2015-06-05T18:17:20Z</dcterms:created>
  <dcterms:modified xsi:type="dcterms:W3CDTF">2026-02-21T13:01:48Z</dcterms:modified>
</cp:coreProperties>
</file>